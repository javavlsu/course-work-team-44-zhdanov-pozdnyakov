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29.xml" ContentType="application/vnd.openxmlformats-officedocument.drawingml.chart+xml"/>
  <Override PartName="/xl/charts/chart28.xml" ContentType="application/vnd.openxmlformats-officedocument.drawingml.chart+xml"/>
  <Override PartName="/xl/charts/chart27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20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23.xml" ContentType="application/vnd.openxmlformats-officedocument.drawingml.chart+xml"/>
  <Override PartName="/xl/charts/chart3.xml" ContentType="application/vnd.openxmlformats-officedocument.drawingml.chart+xml"/>
  <Override PartName="/xl/charts/chart37.xml" ContentType="application/vnd.openxmlformats-officedocument.drawingml.chart+xml"/>
  <Override PartName="/xl/charts/chart50.xml" ContentType="application/vnd.openxmlformats-officedocument.drawingml.chart+xml"/>
  <Override PartName="/xl/charts/chart32.xml" ContentType="application/vnd.openxmlformats-officedocument.drawingml.chart+xml"/>
  <Override PartName="/xl/charts/chart2.xml" ContentType="application/vnd.openxmlformats-officedocument.drawingml.chart+xml"/>
  <Override PartName="/xl/charts/chart46.xml" ContentType="application/vnd.openxmlformats-officedocument.drawingml.chart+xml"/>
  <Override PartName="/xl/charts/chart19.xml" ContentType="application/vnd.openxmlformats-officedocument.drawingml.chart+xml"/>
  <Override PartName="/xl/charts/chart49.xml" ContentType="application/vnd.openxmlformats-officedocument.drawingml.chart+xml"/>
  <Override PartName="/xl/charts/chart34.xml" ContentType="application/vnd.openxmlformats-officedocument.drawingml.chart+xml"/>
  <Override PartName="/xl/charts/chart33.xml" ContentType="application/vnd.openxmlformats-officedocument.drawingml.chart+xml"/>
  <Override PartName="/xl/charts/chart45.xml" ContentType="application/vnd.openxmlformats-officedocument.drawingml.chart+xml"/>
  <Override PartName="/xl/charts/chart26.xml" ContentType="application/vnd.openxmlformats-officedocument.drawingml.chart+xml"/>
  <Override PartName="/xl/charts/chart42.xml" ContentType="application/vnd.openxmlformats-officedocument.drawingml.chart+xml"/>
  <Override PartName="/xl/charts/chart41.xml" ContentType="application/vnd.openxmlformats-officedocument.drawingml.chart+xml"/>
  <Override PartName="/xl/charts/chart47.xml" ContentType="application/vnd.openxmlformats-officedocument.drawingml.chart+xml"/>
  <Override PartName="/xl/charts/chart5.xml" ContentType="application/vnd.openxmlformats-officedocument.drawingml.chart+xml"/>
  <Override PartName="/xl/charts/chart51.xml" ContentType="application/vnd.openxmlformats-officedocument.drawingml.chart+xml"/>
  <Override PartName="/xl/charts/chart30.xml" ContentType="application/vnd.openxmlformats-officedocument.drawingml.chart+xml"/>
  <Override PartName="/xl/charts/chart18.xml" ContentType="application/vnd.openxmlformats-officedocument.drawingml.chart+xml"/>
  <Override PartName="/xl/charts/chart11.xml" ContentType="application/vnd.openxmlformats-officedocument.drawingml.chart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12.xml" ContentType="application/vnd.openxmlformats-officedocument.drawingml.chart+xml"/>
  <Override PartName="/xl/charts/chart39.xml" ContentType="application/vnd.openxmlformats-officedocument.drawingml.chart+xml"/>
  <Override PartName="/xl/charts/chart44.xml" ContentType="application/vnd.openxmlformats-officedocument.drawingml.chart+xml"/>
  <Override PartName="/xl/charts/chart8.xml" ContentType="application/vnd.openxmlformats-officedocument.drawingml.chart+xml"/>
  <Override PartName="/xl/charts/chart38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3.xml" ContentType="application/vnd.openxmlformats-officedocument.drawingml.chart+xml"/>
  <Override PartName="/xl/charts/chart7.xml" ContentType="application/vnd.openxmlformats-officedocument.drawingml.chart+xml"/>
  <Override PartName="/xl/charts/chart24.xml" ContentType="application/vnd.openxmlformats-officedocument.drawingml.chart+xml"/>
  <Override PartName="/xl/charts/chart48.xml" ContentType="application/vnd.openxmlformats-officedocument.drawingml.chart+xml"/>
  <Override PartName="/xl/charts/chart6.xml" ContentType="application/vnd.openxmlformats-officedocument.drawingml.chart+xml"/>
  <Override PartName="/xl/charts/chart25.xml" ContentType="application/vnd.openxmlformats-officedocument.drawingml.chart+xml"/>
  <Override PartName="/xl/charts/chart10.xml" ContentType="application/vnd.openxmlformats-officedocument.drawingml.chart+xml"/>
  <Override PartName="/xl/charts/chart15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Стенд и методика" sheetId="2" state="visible" r:id="rId4"/>
    <sheet name="Интеграционные тесты" sheetId="3" state="visible" r:id="rId5"/>
    <sheet name="Дефекты" sheetId="4" state="visible" r:id="rId6"/>
    <sheet name="Оптимизация" sheetId="5" state="visible" r:id="rId7"/>
    <sheet name="Нагрузка — сценарии" sheetId="6" state="visible" r:id="rId8"/>
    <sheet name="Нагрузка — итоги" sheetId="7" state="visible" r:id="rId9"/>
    <sheet name="Нагрузка — эндпоинты" sheetId="8" state="visible" r:id="rId10"/>
    <sheet name="Ступени нагрузки" sheetId="9" state="visible" r:id="rId11"/>
    <sheet name="Временные ряды" sheetId="10" state="visible" r:id="rId12"/>
    <sheet name="Объёмный тест" sheetId="11" state="visible" r:id="rId13"/>
    <sheet name="Очередь сборок" sheetId="12" state="visible" r:id="rId14"/>
  </sheets>
  <definedNames>
    <definedName function="false" hidden="true" localSheetId="3" name="_xlnm._FilterDatabase" vbProcedure="false">Дефекты!$A$4:$F$26</definedName>
    <definedName function="false" hidden="true" localSheetId="2" name="_xlnm._FilterDatabase" vbProcedure="false">'Интеграционные тесты'!$A$4:$J$60</definedName>
    <definedName function="false" hidden="true" localSheetId="7" name="_xlnm._FilterDatabase" vbProcedure="false">'Нагрузка — эндпоинты'!$A$3:$M$101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<sst xmlns="http://schemas.openxmlformats.org/spreadsheetml/2006/main" count="1766" uniqueCount="876">
  <si>
    <t xml:space="preserve">Отчёт: интеграционное и нагрузочное тестирование Luckfox Image Builder</t>
  </si>
  <si>
    <t xml:space="preserve">Дата проведения: 30.09.2026 · версия: 27e1fb0 (Add component filter and price sorting to libraries) · стенд: WSL2 Ubuntu 24.04, 16 vCPU / 7.5 ГБ, MySQL 8, JDK 17</t>
  </si>
  <si>
    <t xml:space="preserve">1. Интеграционное тестирование (по этапам)</t>
  </si>
  <si>
    <t xml:space="preserve">Этап</t>
  </si>
  <si>
    <t xml:space="preserve">Всего</t>
  </si>
  <si>
    <t xml:space="preserve">PASS</t>
  </si>
  <si>
    <t xml:space="preserve">FAIL</t>
  </si>
  <si>
    <t xml:space="preserve">Успешно, %</t>
  </si>
  <si>
    <t xml:space="preserve">1. Развёртывание</t>
  </si>
  <si>
    <t xml:space="preserve">2. Аутентификация и доступ</t>
  </si>
  <si>
    <t xml:space="preserve">3. Каталог и пагинация</t>
  </si>
  <si>
    <t xml:space="preserve">4. Компоненты (ADMIN)</t>
  </si>
  <si>
    <t xml:space="preserve">5. Заказ и сборка образа</t>
  </si>
  <si>
    <t xml:space="preserve">6. Управление пользователями</t>
  </si>
  <si>
    <t xml:space="preserve">7. Отказоустойчивость</t>
  </si>
  <si>
    <t xml:space="preserve">8. E2E через браузер (UI)</t>
  </si>
  <si>
    <t xml:space="preserve">Итого</t>
  </si>
  <si>
    <t xml:space="preserve">2. Найденные дефекты по серьёзности</t>
  </si>
  <si>
    <t xml:space="preserve">Серьёзность</t>
  </si>
  <si>
    <t xml:space="preserve">Количество</t>
  </si>
  <si>
    <t xml:space="preserve">Критическая</t>
  </si>
  <si>
    <t xml:space="preserve">Высокая</t>
  </si>
  <si>
    <t xml:space="preserve">Средняя</t>
  </si>
  <si>
    <t xml:space="preserve">Низкая</t>
  </si>
  <si>
    <t xml:space="preserve">3. Нагрузочное тестирование (ключевые показатели)</t>
  </si>
  <si>
    <t xml:space="preserve">Профиль</t>
  </si>
  <si>
    <t xml:space="preserve">Запросов</t>
  </si>
  <si>
    <t xml:space="preserve">RPS средн.</t>
  </si>
  <si>
    <t xml:space="preserve">Ошибки</t>
  </si>
  <si>
    <t xml:space="preserve">p95, мс</t>
  </si>
  <si>
    <t xml:space="preserve">p99, мс</t>
  </si>
  <si>
    <t xml:space="preserve">Критерии (SLA)</t>
  </si>
  <si>
    <t xml:space="preserve">L-01 Дымовой (baseline)</t>
  </si>
  <si>
    <t xml:space="preserve">L-02 Просмотр каталогов (гости)</t>
  </si>
  <si>
    <t xml:space="preserve">L-03 Смешанный продакшен-профиль (целевая нагрузка)</t>
  </si>
  <si>
    <t xml:space="preserve">L-04 Стресс (поиск предела)</t>
  </si>
  <si>
    <t xml:space="preserve">L-04b Стресс до отказа (breakpoint)</t>
  </si>
  <si>
    <t xml:space="preserve">L-05 Всплеск (spike)</t>
  </si>
  <si>
    <t xml:space="preserve">L-06 Шторм авторизаций</t>
  </si>
  <si>
    <t xml:space="preserve">L-07 Пакет заказов сборки (очередь)</t>
  </si>
  <si>
    <t xml:space="preserve">L-08 Скачивание артефактов</t>
  </si>
  <si>
    <t xml:space="preserve">L-09 Длительная нагрузка (soak)</t>
  </si>
  <si>
    <t xml:space="preserve">L-10a Объём: базовая БД</t>
  </si>
  <si>
    <t xml:space="preserve">L-10b Объём: БД ×100</t>
  </si>
  <si>
    <t xml:space="preserve">4. Выводы</t>
  </si>
  <si>
    <t xml:space="preserve">• Интеграционное тестирование: 56 тестов (47 API на прод-подобном стенде + 9 E2E в браузере). 34 прошли, 22 выявили отклонения. Основные бизнес-сценарии работают корректно: регистрация и вход, каталоги с поиском/фильтрами/сортировкой/пагинацией, защита графа зависимостей, заказ → сборка → скачивание валидного ext4-образа, администрирование, FIFO-очередь с одним воркером, оптимистичная блокировка, сохранность данных при перезапуске.</t>
  </si>
  <si>
    <t xml:space="preserve">• Найдено 22 дефекта: 1 критический (секрет JWT в репозитории — можно выпустить токен администратора), 4 высоких (скачивание чужих образов по id, зависание очереди после падения backend, необработанные ошибки разбора JWT, нет защиты от перебора паролей), 9 средних, 8 низких.</t>
  </si>
  <si>
    <t xml:space="preserve">• Системная проблема обработки ошибок безопасности: Spring Security отвечает 403 без тела там, где нужны 401/400/503 (нет entry point, /error закрыт). Из-за этого фронтенд не выкидывает на вход при истёкшем токене, а пользователь видит «Request failed with status code 403».</t>
  </si>
  <si>
    <t xml:space="preserve">• Нагрузка: все 12 профилей (≈879 тыс. запросов) — ни одной HTTP-ошибки. Целевой профиль 100 одновременных пользователей (≈60 запросов/с): p95 чтения 17,5 мс, записи &lt; 60 мс, машина загружена на ≈5 %.</t>
  </si>
  <si>
    <t xml:space="preserve">• Предел чтения каталогов ≈1 300 запросов/с (≈20× целевой нагрузки). Выше система не отказывает, а копит запросы в очереди — медиана 2–3 с. Узкое место — БД: N+1 (≈12,5 SQL на HTTP-запрос), пул HikariCP 10 соединений.</t>
  </si>
  <si>
    <t xml:space="preserve">• Вход (BCrypt) — ≈50–60 входов/с на стенде; на 100/с задержка растёт в 11 раз и занимает ≈8 ядер. Ограничения частоты попыток нет — это и риск перебора паролей.</t>
  </si>
  <si>
    <t xml:space="preserve">• Очередь сборок под нагрузкой надёжна (FIFO, 355 сборок без потерь), но строго последовательна: при реальной сборке SDK 1–3 ч это главный ограничитель сервиса (≈8–24 образа в сутки).</t>
  </si>
  <si>
    <t xml:space="preserve">• Длительная нагрузка (15 мин): утечек памяти и деградации нет. Объём ×100 (20 тыс. образов): p95 вырос 9 → 28 мс, страница из 100 образов — 389 SQL-запросов; при росте данных N+1 станет главной проблемой.</t>
  </si>
  <si>
    <t xml:space="preserve">• Приоритет исправлений: DEF-07 → DEF-16 → DEF-19 → DEF-05/04/03 (единая обработка ошибок безопасности) → DEF-21 → DEF-12/22 (производительность БД).</t>
  </si>
  <si>
    <t xml:space="preserve">• Оптимизация по итогам нагрузки (лист «Оптимизация»): устранены N+1 и удержание соединения БД (Open Session In View), добавлены индексы, пул и быстрый отказ 503, защита входа от перебора. Повторный прогон тех же профилей: предел чтения 1 470 → 3 830 запросов/с (×2,6), p95 целевого профиля 17,5 → 5,6 мс, вход на 100/с p95 1 050 → 127 мс, страница из 100 образов на БД ×100 — 389 → 11 SQL. Исправлены DEF-12, DEF-20, DEF-21, DEF-22, частично DEF-23; добавлено 84 модульных теста.</t>
  </si>
  <si>
    <t xml:space="preserve">Тестовый стенд и методика</t>
  </si>
  <si>
    <t xml:space="preserve">Аппаратная платформа</t>
  </si>
  <si>
    <t xml:space="preserve">Процессор</t>
  </si>
  <si>
    <t xml:space="preserve">AMD Ryzen 7 5800HS with Radeon Graphics, 16 логических ядер (выделены WSL2)</t>
  </si>
  <si>
    <t xml:space="preserve">Память</t>
  </si>
  <si>
    <t xml:space="preserve">7638 МБ (лимит WSL2)</t>
  </si>
  <si>
    <t xml:space="preserve">ОС</t>
  </si>
  <si>
    <t xml:space="preserve">Ubuntu 24.04 LTS в WSL2, ядро 6.6.87.2-microsoft-standard-WSL2; хост — Windows 11 Enterprise LTSC 2024</t>
  </si>
  <si>
    <t xml:space="preserve">Диск</t>
  </si>
  <si>
    <t xml:space="preserve">ext4 (виртуальный диск WSL2) на NVMe хоста</t>
  </si>
  <si>
    <t xml:space="preserve">Программное обеспечение</t>
  </si>
  <si>
    <t xml:space="preserve">JDK</t>
  </si>
  <si>
    <t xml:space="preserve">openjdk version "17.0.20.1" 2026-08-18</t>
  </si>
  <si>
    <t xml:space="preserve">Backend</t>
  </si>
  <si>
    <t xml:space="preserve">Spring Boot 3.2.0 (встроенный Tomcat: 200 потоков по умолчанию), Hibernate 6, HikariCP (пул 10 соединений по умолчанию), JWT (jjwt)</t>
  </si>
  <si>
    <t xml:space="preserve">СУБД</t>
  </si>
  <si>
    <t xml:space="preserve">MySQL 8.0.46-0ubuntu0.24.04.4 (параметры по умолчанию, innodb_buffer_pool_size 128 МБ)</t>
  </si>
  <si>
    <t xml:space="preserve">Frontend</t>
  </si>
  <si>
    <t xml:space="preserve">React 18 + Vite 5, prod-сборка (vite build, VITE_API_URL=http://localhost:8080/api), раздача server.mjs на Node v24.20.0</t>
  </si>
  <si>
    <t xml:space="preserve">Генератор нагрузки</t>
  </si>
  <si>
    <t xml:space="preserve">k6 v0.54.0 (Grafana k6)</t>
  </si>
  <si>
    <t xml:space="preserve">Интеграционные тесты</t>
  </si>
  <si>
    <t xml:space="preserve">Python 3.12 + requests (tests/integration/run_integration.py); E2E — Playwright (Chromium) с хоста Windows</t>
  </si>
  <si>
    <t xml:space="preserve">Мониторинг</t>
  </si>
  <si>
    <t xml:space="preserve">tests/load/monitor.py: /proc (CPU, RSS, потоки), jstat -gc (heap, GC), SHOW GLOBAL STATUS (соединения, Questions); шаг 1 с</t>
  </si>
  <si>
    <t xml:space="preserve">Конфигурация стенда (приближена к docker-compose)</t>
  </si>
  <si>
    <t xml:space="preserve">Топология</t>
  </si>
  <si>
    <t xml:space="preserve">3 процесса как 3 контейнера compose: MySQL :3306 ← backend jar :8080 ← браузер/клиенты; фронтенд :5173 (server.mjs) обращается к API по абсолютному URL (CORS)</t>
  </si>
  <si>
    <t xml:space="preserve">JVM</t>
  </si>
  <si>
    <t xml:space="preserve">-Xms512m -Xmx1g -XX:+UseG1GC -Djava.net.preferIPv4Stack=true (java -jar, профиль по умолчанию)</t>
  </si>
  <si>
    <t xml:space="preserve">Сборка образов</t>
  </si>
  <si>
    <t xml:space="preserve">scripts/luckfox_build.sh в режиме симуляции (реальный ext4-образ 16+N МБ), LUCKFOX_SIM_DELAY=3 с — имитация длительности; очередь с одним воркером</t>
  </si>
  <si>
    <t xml:space="preserve">База данных</t>
  </si>
  <si>
    <t xml:space="preserve">Чистая БД, схема создаётся Hibernate (ddl-auto=update), наполнение DataSeeder: 67 компонентов, 15 образов через конвейер сборки, admin</t>
  </si>
  <si>
    <t xml:space="preserve">Ограничения стенда</t>
  </si>
  <si>
    <t xml:space="preserve">Генератор нагрузки, backend и MySQL работают на одной машине и делят CPU — абсолютные пределы занижены относительно выделенного сервера; сеть — loopback (нет сетевых задержек)</t>
  </si>
  <si>
    <t xml:space="preserve">Методика</t>
  </si>
  <si>
    <t xml:space="preserve">Интеграционное: подход</t>
  </si>
  <si>
    <t xml:space="preserve">Чёрный ящик по HTTP против развёрнутого стенда с реальными MySQL, файловой системой, внешним процессом сборки и CORS. Каждый тест создаёт собственные данные (уникальные email/имена). Проверяются ответы API, состояние БД (information_schema, счётчики) и артефакты на диске (ext4-магия, содержимое через debugfs).</t>
  </si>
  <si>
    <t xml:space="preserve">Интеграционное: этапы</t>
  </si>
  <si>
    <t xml:space="preserve">1 — развёртывание (SPA, статика, CORS, схема, DataSeeder); 2 — аутентификация и доступ; 3 — каталог и пагинация; 4 — компоненты (ADMIN); 5 — заказ и сборка образа; 6 — управление пользователями; 7 — отказоустойчивость (SIGTERM/kill -9 backend во время сборки, остановка MySQL); 8 — E2E в браузере (Playwright).</t>
  </si>
  <si>
    <t xml:space="preserve">Интеграционное: прогон</t>
  </si>
  <si>
    <t xml:space="preserve">Финальный прогон — на полностью пересозданном стенде (чистая БД). Первый прогон использовался для отладки тестов: 4 ложных срабатывания (имя таблицы, порядок параллельных заказов, формулировки) исправлены в тестах, а не в ожиданиях к системе.</t>
  </si>
  <si>
    <t xml:space="preserve">Нагрузочное: инструмент</t>
  </si>
  <si>
    <t xml:space="preserve">Grafana k6: модели closed (виртуальные пользователи с паузами «на чтение») и open (заданная интенсивность, ramping/constant-arrival-rate). Операции размечены тегом name, чтение/запись — тегом kind. setup() регистрирует тестовых пользователей; эти запросы исключены из метрик.</t>
  </si>
  <si>
    <t xml:space="preserve">Нагрузочное: метрики</t>
  </si>
  <si>
    <t xml:space="preserve">Время отклика (avg/min/med/p90/p95/p99/max), RPS, доля ошибок (http_req_failed и checks), активные VU, пропущенные итерации, объём данных. Время от заказа до READY. Ресурсы с шагом 1 с: CPU и RSS процессов java и mysqld, heap и GC (jstat), потоки, соединения MySQL, число SQL-запросов (Questions).</t>
  </si>
  <si>
    <t xml:space="preserve">Критерии успеха (SLA)</t>
  </si>
  <si>
    <t xml:space="preserve">Ошибки &lt; 1 %; p95 чтения &lt; 500 мс; p95 записи &lt; 1000 мс; p95 входа &lt; 1000 мс; p95 скачивания 18 МБ &lt; 3000 мс; для стресса — фиксация точки насыщения.</t>
  </si>
  <si>
    <t xml:space="preserve">Порядок прогона</t>
  </si>
  <si>
    <t xml:space="preserve">Профили выполнялись последовательно на одном экземпляре backend (без перезапуска, паузы 20 с). Прогрев JVM — дымовой профиль. БД росла по ходу тестов (39 → ≈550 образов); объёмный тест — в конце, на отдельно наполненной БД.</t>
  </si>
  <si>
    <t xml:space="preserve">Ограничения</t>
  </si>
  <si>
    <t xml:space="preserve">Генератор нагрузки работает на той же машине, что и система: в breakpoint машина загружена на 69–85 %, k6 упёрся в 3000 VU, так что предел ≈1 300 запросов/с — нижняя оценка. Сборка — симуляция (3 с + mkfs) вместо 1–3 ч. Сеть — loopback.</t>
  </si>
  <si>
    <t xml:space="preserve">Особенность стенда</t>
  </si>
  <si>
    <t xml:space="preserve">Backend по умолчанию слушал только IPv6-сокет, и браузер на хосте Windows не мог достучаться до API через проброс WSL (ERR_CONNECTION_REFUSED). Для стенда добавлен -Djava.net.preferIPv4Stack=true; в Docker-развёртывании проблема не проявляется.</t>
  </si>
  <si>
    <t xml:space="preserve">Интеграционные тесты (чёрный ящик по HTTP на прод-подобном стенде + E2E в браузере)</t>
  </si>
  <si>
    <t xml:space="preserve">Прогон c28bab, завершён 2026-09-29 23:58:59. Скрипт: tests/integration/run_integration.py; E2E: Playwright.</t>
  </si>
  <si>
    <t xml:space="preserve">№</t>
  </si>
  <si>
    <t xml:space="preserve">ID</t>
  </si>
  <si>
    <t xml:space="preserve">Тест</t>
  </si>
  <si>
    <t xml:space="preserve">Описание / шаги</t>
  </si>
  <si>
    <t xml:space="preserve">Ожидаемый результат</t>
  </si>
  <si>
    <t xml:space="preserve">Фактический результат</t>
  </si>
  <si>
    <t xml:space="preserve">Статус</t>
  </si>
  <si>
    <t xml:space="preserve">Время, с</t>
  </si>
  <si>
    <t xml:space="preserve">Дефект</t>
  </si>
  <si>
    <t xml:space="preserve">INT-01</t>
  </si>
  <si>
    <t xml:space="preserve">Фронтенд (prod-сборка) отдаёт SPA и ассеты</t>
  </si>
  <si>
    <t xml:space="preserve">GET / и JS/CSS-бандлы из dist/ через server.mjs</t>
  </si>
  <si>
    <t xml:space="preserve">200, text/html; бандлы 200 с корректным Content-Type</t>
  </si>
  <si>
    <t xml:space="preserve">index-CTuQi8U5.js text/javascript; charset=utf-8 244 КБ; index-CYtgMNis.css text/css; charset=utf-8 8 КБ</t>
  </si>
  <si>
    <t xml:space="preserve">INT-02</t>
  </si>
  <si>
    <t xml:space="preserve">Прямой переход по клиентскому маршруту (deep link)</t>
  </si>
  <si>
    <t xml:space="preserve">Обновление страницы на /editor/image и /admin/users</t>
  </si>
  <si>
    <t xml:space="preserve">200 и index.html (SPA fallback)</t>
  </si>
  <si>
    <t xml:space="preserve">/editor/image → 200, /admin/users → 200, /no/such/route → 200</t>
  </si>
  <si>
    <t xml:space="preserve">INT-03</t>
  </si>
  <si>
    <t xml:space="preserve">Отдача несуществующего ассета</t>
  </si>
  <si>
    <t xml:space="preserve">GET /assets/missing.js (напр. после деплоя новой версии у клиента старый index.html)</t>
  </si>
  <si>
    <t xml:space="preserve">404 для отсутствующего файла со статикой</t>
  </si>
  <si>
    <t xml:space="preserve">HTTP 200, Content-Type text/html; charset=utf-8 — браузер получит HTML вместо JS</t>
  </si>
  <si>
    <t xml:space="preserve">DEF-01</t>
  </si>
  <si>
    <t xml:space="preserve">INT-04</t>
  </si>
  <si>
    <t xml:space="preserve">CORS: preflight с origin фронтенда</t>
  </si>
  <si>
    <t xml:space="preserve">OPTIONS /api/images/build с Origin http://localhost:5173</t>
  </si>
  <si>
    <t xml:space="preserve">200, Access-Control-Allow-Origin = origin</t>
  </si>
  <si>
    <t xml:space="preserve">HTTP 200, ACAO=http://localhost:5173</t>
  </si>
  <si>
    <t xml:space="preserve">INT-05</t>
  </si>
  <si>
    <t xml:space="preserve">CORS: origin боевого домена</t>
  </si>
  <si>
    <t xml:space="preserve">OPTIONS с Origin https://builder.example.com (фронт на домене/другом порту)</t>
  </si>
  <si>
    <t xml:space="preserve">Разрешённые origin задаются конфигурацией (переменной окружения)</t>
  </si>
  <si>
    <t xml:space="preserve">HTTP 403 «Invalid CORS request» — фронт на любом другом адресе не сможет обращаться к API; origin изменить без пересборки нельзя</t>
  </si>
  <si>
    <t xml:space="preserve">DEF-02</t>
  </si>
  <si>
    <t xml:space="preserve">INT-06</t>
  </si>
  <si>
    <t xml:space="preserve">Схема БД создана Hibernate на чистой MySQL</t>
  </si>
  <si>
    <t xml:space="preserve">Проверка таблиц и ограничений в information_schema</t>
  </si>
  <si>
    <t xml:space="preserve">Все таблицы есть, уникальный индекс на User.email</t>
  </si>
  <si>
    <t xml:space="preserve">11 таблиц, уникальный индекс email есть</t>
  </si>
  <si>
    <t xml:space="preserve">INT-07</t>
  </si>
  <si>
    <t xml:space="preserve">Начальное наполнение (DataSeeder) через конвейер сборки</t>
  </si>
  <si>
    <t xml:space="preserve">На чистой БД: каталог, администратор, стартовые образы проходят реальную очередь сборки</t>
  </si>
  <si>
    <t xml:space="preserve">67 компонентов, 15 образов; все стартовые образы READY и скачиваемы</t>
  </si>
  <si>
    <t xml:space="preserve">67 компонентов, 15/15 образов READY (очередь опустела за 0 с), вход admin OK</t>
  </si>
  <si>
    <t xml:space="preserve">INT-08</t>
  </si>
  <si>
    <t xml:space="preserve">Регистрация и вход</t>
  </si>
  <si>
    <t xml:space="preserve">POST /auth/register, затем POST /auth/login и GET /users/me</t>
  </si>
  <si>
    <t xml:space="preserve">200, JWT, профиль с ролью USER</t>
  </si>
  <si>
    <t xml:space="preserve">токен выдан, /users/me → it-c28bab-117d46@test.io ['USER']</t>
  </si>
  <si>
    <t xml:space="preserve">INT-09</t>
  </si>
  <si>
    <t xml:space="preserve">Валидация регистрации</t>
  </si>
  <si>
    <t xml:space="preserve">Слабый пароль, неверный email, пустое имя, дубликат email</t>
  </si>
  <si>
    <t xml:space="preserve">400 с понятным сообщением для каждого случая</t>
  </si>
  <si>
    <t xml:space="preserve">weak password→400, bad email→400, empty name→400, duplicate→400</t>
  </si>
  <si>
    <t xml:space="preserve">INT-10</t>
  </si>
  <si>
    <t xml:space="preserve">Вход с неверным паролем / несуществующим email</t>
  </si>
  <si>
    <t xml:space="preserve">POST /auth/login с неверными учётными данными</t>
  </si>
  <si>
    <t xml:space="preserve">401 Unauthorized с сообщением об ошибке</t>
  </si>
  <si>
    <t xml:space="preserve">неверный пароль → HTTP 403 «»; нет пользователя → HTTP 403</t>
  </si>
  <si>
    <t xml:space="preserve">DEF-03</t>
  </si>
  <si>
    <t xml:space="preserve">INT-11</t>
  </si>
  <si>
    <t xml:space="preserve">Доступ к защищённым ресурсам без токена</t>
  </si>
  <si>
    <t xml:space="preserve">GET /users/me, POST /images/build без Authorization</t>
  </si>
  <si>
    <t xml:space="preserve">401 (фронтенд перенаправляет на вход только по 401)</t>
  </si>
  <si>
    <t xml:space="preserve">/users/me → 403, /images/build → 403</t>
  </si>
  <si>
    <t xml:space="preserve">DEF-04</t>
  </si>
  <si>
    <t xml:space="preserve">INT-12</t>
  </si>
  <si>
    <t xml:space="preserve">Повреждённый и чужой по подписи токен</t>
  </si>
  <si>
    <t xml:space="preserve">Authorization: Bearer &lt;мусор&gt;; токен, подписанный другим ключом</t>
  </si>
  <si>
    <t xml:space="preserve">401, без 500 и стектрейсов</t>
  </si>
  <si>
    <t xml:space="preserve">коды: {'мусор': 403, 'чужая подпись': 403}</t>
  </si>
  <si>
    <t xml:space="preserve">DEF-05</t>
  </si>
  <si>
    <t xml:space="preserve">INT-13</t>
  </si>
  <si>
    <t xml:space="preserve">Просроченный токен</t>
  </si>
  <si>
    <t xml:space="preserve">Токен с exp в прошлом (подписан ключом приложения)</t>
  </si>
  <si>
    <t xml:space="preserve">401 → фронтенд отправляет на вход</t>
  </si>
  <si>
    <t xml:space="preserve">HTTP 403 (ExpiredJwtException не обработано)</t>
  </si>
  <si>
    <t xml:space="preserve">INT-14</t>
  </si>
  <si>
    <t xml:space="preserve">Время жизни JWT</t>
  </si>
  <si>
    <t xml:space="preserve">Декодирование выданного токена: exp - iat</t>
  </si>
  <si>
    <t xml:space="preserve">24 часа (так указано в коде/документации)</t>
  </si>
  <si>
    <t xml:space="preserve">4.0 ч</t>
  </si>
  <si>
    <t xml:space="preserve">DEF-06</t>
  </si>
  <si>
    <t xml:space="preserve">INT-15</t>
  </si>
  <si>
    <t xml:space="preserve">Ключ подписи JWT в исходном коде</t>
  </si>
  <si>
    <t xml:space="preserve">Токен, подписанный ключом из репозитория, принимается сервером</t>
  </si>
  <si>
    <t xml:space="preserve">Ключ берётся из секрета окружения; такой токен отклоняется</t>
  </si>
  <si>
    <t xml:space="preserve">GET /users (ADMIN) с токеном из известного ключа → HTTP 200</t>
  </si>
  <si>
    <t xml:space="preserve">DEF-07</t>
  </si>
  <si>
    <t xml:space="preserve">INT-16</t>
  </si>
  <si>
    <t xml:space="preserve">Разграничение ролей USER / ADMIN</t>
  </si>
  <si>
    <t xml:space="preserve">USER вызывает админские операции: GET /users, POST /components, PUT/DELETE /images/{id}</t>
  </si>
  <si>
    <t xml:space="preserve">403 для всех</t>
  </si>
  <si>
    <t xml:space="preserve">GET /users→403, POST /components→403, PUT /images→403, DELETE /images→403, DELETE /users/1→403</t>
  </si>
  <si>
    <t xml:space="preserve">INT-17</t>
  </si>
  <si>
    <t xml:space="preserve">Токен удалённого пользователя</t>
  </si>
  <si>
    <t xml:space="preserve">Админ удаляет пользователя, тот продолжает запрос со старым токеном</t>
  </si>
  <si>
    <t xml:space="preserve">401</t>
  </si>
  <si>
    <t xml:space="preserve">HTTP 403</t>
  </si>
  <si>
    <t xml:space="preserve">DEF-08</t>
  </si>
  <si>
    <t xml:space="preserve">INT-18</t>
  </si>
  <si>
    <t xml:space="preserve">Гонка: одновременная регистрация одного email</t>
  </si>
  <si>
    <t xml:space="preserve">20 параллельных POST /auth/register с одинаковым email</t>
  </si>
  <si>
    <t xml:space="preserve">Ровно 1 успех, остальные 400/409, дублей в БД нет, 5xx нет</t>
  </si>
  <si>
    <t xml:space="preserve">коды {200: 1, 409: 9, 400: 10}, строк в БД 1</t>
  </si>
  <si>
    <t xml:space="preserve">INT-19</t>
  </si>
  <si>
    <t xml:space="preserve">Пагинация: граничные значения</t>
  </si>
  <si>
    <t xml:space="preserve">size=1000, size=0, page=-1, page за пределами</t>
  </si>
  <si>
    <t xml:space="preserve">size обрезается до 100, page&lt;0 → 0, пустая страница за пределами</t>
  </si>
  <si>
    <t xml:space="preserve">size 1000→100, 0→1, page -1→0, page 999 → пусто</t>
  </si>
  <si>
    <t xml:space="preserve">INT-20</t>
  </si>
  <si>
    <t xml:space="preserve">Нечисловые параметры (анонимный пользователь)</t>
  </si>
  <si>
    <t xml:space="preserve">GET /components?page=abc, GET /images?components=x, GET /components/abc</t>
  </si>
  <si>
    <t xml:space="preserve">400 Bad Request</t>
  </si>
  <si>
    <t xml:space="preserve">{'page=abc': 403, 'components=x': 403, '/components/abc': 403}</t>
  </si>
  <si>
    <t xml:space="preserve">DEF-10</t>
  </si>
  <si>
    <t xml:space="preserve">INT-21</t>
  </si>
  <si>
    <t xml:space="preserve">Спецсимволы и инъекции в поиске</t>
  </si>
  <si>
    <t xml:space="preserve">search = ', ", ' OR 1=1 --, %, _, &lt;script&gt;</t>
  </si>
  <si>
    <t xml:space="preserve">Нет 5xx; спецсимволы трактуются буквально (% и _ не шаблоны)</t>
  </si>
  <si>
    <t xml:space="preserve">инъекции нет (параметризованные запросы), но wildcard: найдено {"'": 0, '"': 0, "' OR 1=1 --": 0, '&lt;script&gt;': 0, '%': 67, '_': 67}</t>
  </si>
  <si>
    <t xml:space="preserve">DEF-11</t>
  </si>
  <si>
    <t xml:space="preserve">INT-22</t>
  </si>
  <si>
    <t xml:space="preserve">Комбинация поиска, типа, сортировки и страниц</t>
  </si>
  <si>
    <t xml:space="preserve">Сквозной проход всех страниц с search+type+sort=price_desc</t>
  </si>
  <si>
    <t xml:space="preserve">Без дублей и пропусков, порядок по цене сохраняется между страницами</t>
  </si>
  <si>
    <t xml:space="preserve">30 записей на 5 стр., дублей нет</t>
  </si>
  <si>
    <t xml:space="preserve">INT-23</t>
  </si>
  <si>
    <t xml:space="preserve">Число SQL-запросов на одну страницу образов</t>
  </si>
  <si>
    <t xml:space="preserve">Дельта счётчика Questions MySQL вокруг GET /images?size=12</t>
  </si>
  <si>
    <t xml:space="preserve">≤ 10 запросов (без проблемы N+1)</t>
  </si>
  <si>
    <t xml:space="preserve">GET /images?size=12 → 23 SQL-запросов; GET /components?size=20 → 31</t>
  </si>
  <si>
    <t xml:space="preserve">DEF-12</t>
  </si>
  <si>
    <t xml:space="preserve">INT-24</t>
  </si>
  <si>
    <t xml:space="preserve">Создание компонента с зависимостями и чтение</t>
  </si>
  <si>
    <t xml:space="preserve">POST /components с dependencyIds, GET /components/{id}</t>
  </si>
  <si>
    <t xml:space="preserve">201/200, зависимости сохранены</t>
  </si>
  <si>
    <t xml:space="preserve">HTTP 200, id=68, deps=[1]</t>
  </si>
  <si>
    <t xml:space="preserve">INT-25</t>
  </si>
  <si>
    <t xml:space="preserve">Защита графа зависимостей</t>
  </si>
  <si>
    <t xml:space="preserve">Зависимость на себя; цикл A→B→A через PUT</t>
  </si>
  <si>
    <t xml:space="preserve">400 в обоих случаях, граф не меняется</t>
  </si>
  <si>
    <t xml:space="preserve">self→400, cycle→400</t>
  </si>
  <si>
    <t xml:space="preserve">INT-26</t>
  </si>
  <si>
    <t xml:space="preserve">Удаление используемого и свободного компонента</t>
  </si>
  <si>
    <t xml:space="preserve">DELETE компонента, входящего в образ; DELETE свободного</t>
  </si>
  <si>
    <t xml:space="preserve">400 с сообщением; 204</t>
  </si>
  <si>
    <t xml:space="preserve">used→400 «Компонент «numpy» входит в образы — сначала измени», free→204, затем GET→404</t>
  </si>
  <si>
    <t xml:space="preserve">INT-27</t>
  </si>
  <si>
    <t xml:space="preserve">Валидация полей компонента</t>
  </si>
  <si>
    <t xml:space="preserve">Пустое имя; отрицательная цена; имя 300 символов; несуществующий тип</t>
  </si>
  <si>
    <t xml:space="preserve">400 для некорректных полей (404 допустим для несуществующего типа)</t>
  </si>
  <si>
    <t xml:space="preserve">{'empty name': 400, 'negative cost': 400, 'name 300': 409, 'bad type': 404}</t>
  </si>
  <si>
    <t xml:space="preserve">DEF-13</t>
  </si>
  <si>
    <t xml:space="preserve">INT-28</t>
  </si>
  <si>
    <t xml:space="preserve">Параллельное редактирование компонента двумя админами</t>
  </si>
  <si>
    <t xml:space="preserve">10 одновременных PUT одного компонента с разными ценами</t>
  </si>
  <si>
    <t xml:space="preserve">Без 5xx; итог — одно из отправленных значений</t>
  </si>
  <si>
    <t xml:space="preserve">коды {200: 1, 409: 9}, итоговая цена 104: оптимистичная блокировка (@Version) отсекла конкурентные записи</t>
  </si>
  <si>
    <t xml:space="preserve">INT-29</t>
  </si>
  <si>
    <t xml:space="preserve">Заказ сборки с разрешением транзитивных зависимостей</t>
  </si>
  <si>
    <t xml:space="preserve">USER заказывает образ [opencv-python]</t>
  </si>
  <si>
    <t xml:space="preserve">202, QUEUED, в составе numpy и python3, цена = сумма компонентов</t>
  </si>
  <si>
    <t xml:space="preserve">HTTP 202, state=QUEUED, состав=['numpy', 'opencv-python', 'python3'], cost=160</t>
  </si>
  <si>
    <t xml:space="preserve">INT-30</t>
  </si>
  <si>
    <t xml:space="preserve">Сборка до READY и появление в «Мои образы»</t>
  </si>
  <si>
    <t xml:space="preserve">Опрос GET /images/{id} до финального статуса</t>
  </si>
  <si>
    <t xml:space="preserve">READY, downloadable=true, образ в /users/me/images</t>
  </si>
  <si>
    <t xml:space="preserve">READY за 2.1 с</t>
  </si>
  <si>
    <t xml:space="preserve">INT-31</t>
  </si>
  <si>
    <t xml:space="preserve">Скачивание артефакта и проверка содержимого</t>
  </si>
  <si>
    <t xml:space="preserve">GET /images/{id}/download владельцем; проверка ext4 и манифеста внутри образа</t>
  </si>
  <si>
    <t xml:space="preserve">200, octet-stream, валидный ext4 (магия 0xEF53), размер 16+N МБ, манифест — валидный JSON с составом</t>
  </si>
  <si>
    <t xml:space="preserve">ext4 OK, 19 МБ, пакеты ['numpy', 'opencv-python', 'python3'], манифест: IT Образ «Тест» c28bab</t>
  </si>
  <si>
    <t xml:space="preserve">INT-32</t>
  </si>
  <si>
    <t xml:space="preserve">Имя файла при скачивании (кириллица)</t>
  </si>
  <si>
    <t xml:space="preserve">Заголовок Content-Disposition для образа «Образ для камеры»</t>
  </si>
  <si>
    <t xml:space="preserve">Корректное имя файла (filename*=UTF-8''… по RFC 6266)</t>
  </si>
  <si>
    <t xml:space="preserve">HTTP 200, заголовок Content-Disposition отсутствует (Tomcat отбросил значение с не-Latin-1 символами) — браузер сохранит файл как «download»</t>
  </si>
  <si>
    <t xml:space="preserve">DEF-15</t>
  </si>
  <si>
    <t xml:space="preserve">INT-33</t>
  </si>
  <si>
    <t xml:space="preserve">Скачивание чужого образа</t>
  </si>
  <si>
    <t xml:space="preserve">Другой USER скачивает образ первого пользователя</t>
  </si>
  <si>
    <t xml:space="preserve">403 (скачивать может владелец или ADMIN)</t>
  </si>
  <si>
    <t xml:space="preserve">HTTP 200, получено 19 МБ чужого образа</t>
  </si>
  <si>
    <t xml:space="preserve">DEF-16</t>
  </si>
  <si>
    <t xml:space="preserve">INT-34</t>
  </si>
  <si>
    <t xml:space="preserve">Скачивание без токена и неготового образа</t>
  </si>
  <si>
    <t xml:space="preserve">GET /download анонимно; GET /download для QUEUED</t>
  </si>
  <si>
    <t xml:space="preserve">401; 400 «не готов»</t>
  </si>
  <si>
    <t xml:space="preserve">аноним → HTTP 403; неготовый → 400</t>
  </si>
  <si>
    <t xml:space="preserve">INT-35</t>
  </si>
  <si>
    <t xml:space="preserve">Валидация заказа</t>
  </si>
  <si>
    <t xml:space="preserve">Пустой список компонентов; несуществующий компонент; пустое имя</t>
  </si>
  <si>
    <t xml:space="preserve">400/404 без 5xx</t>
  </si>
  <si>
    <t xml:space="preserve">{'empty components': 400, 'unknown component': 404, 'empty name': 400}</t>
  </si>
  <si>
    <t xml:space="preserve">INT-36</t>
  </si>
  <si>
    <t xml:space="preserve">Очередь сборок: один воркер, FIFO</t>
  </si>
  <si>
    <t xml:space="preserve">6 последовательных заказов + 6 одновременных от разных пользователей; мониторинг статусов каждые 0,3 с</t>
  </si>
  <si>
    <t xml:space="preserve">Одновременно BUILDING не более 1; последовательные заказы завершаются в порядке заказа; все READY</t>
  </si>
  <si>
    <t xml:space="preserve">max BUILDING=1, FIFO соблюдён, 12 сборок за 35.5 с (3.0 с/сборку); одновременные заказы выполняются в порядке фиксации транзакций, а не id: [25, 28, 26, 27, 29, 30]</t>
  </si>
  <si>
    <t xml:space="preserve">INT-37</t>
  </si>
  <si>
    <t xml:space="preserve">Изменение образа администратором с пересборкой</t>
  </si>
  <si>
    <t xml:space="preserve">PUT /images/{id} READY-образа (другой состав); проверка нового артефакта</t>
  </si>
  <si>
    <t xml:space="preserve">202 → QUEUED → READY; новый состав в артефакте; старый файл заменён</t>
  </si>
  <si>
    <t xml:space="preserve">202, пересобран за 3.6 с, состав ['glibc', 'openssh'], cost 60; PUT во время сборки → 400</t>
  </si>
  <si>
    <t xml:space="preserve">INT-38</t>
  </si>
  <si>
    <t xml:space="preserve">Удаление образа администратором</t>
  </si>
  <si>
    <t xml:space="preserve">DELETE /images/{id}: запись, связь с пользователем и файл артефакта</t>
  </si>
  <si>
    <t xml:space="preserve">204; GET → 404; файл удалён с диска; пропал из «Мои образы»</t>
  </si>
  <si>
    <t xml:space="preserve">204, 404, файл удалён, связь с пользователем снята</t>
  </si>
  <si>
    <t xml:space="preserve">INT-39</t>
  </si>
  <si>
    <t xml:space="preserve">Удаление пользователя, у которого есть образы</t>
  </si>
  <si>
    <t xml:space="preserve">Админ удаляет пользователя с заказанными образами</t>
  </si>
  <si>
    <t xml:space="preserve">204; образы остаются в библиотеке</t>
  </si>
  <si>
    <t xml:space="preserve">204, образ сохранён</t>
  </si>
  <si>
    <t xml:space="preserve">INT-40</t>
  </si>
  <si>
    <t xml:space="preserve">Артефакт удалён с диска вне приложения</t>
  </si>
  <si>
    <t xml:space="preserve">Файл .img удаляется на сервере, затем GET /images/{id} и /download</t>
  </si>
  <si>
    <t xml:space="preserve">downloadable=false либо понятная ошибка; без 5xx</t>
  </si>
  <si>
    <t xml:space="preserve">downloadable=True, download → HTTP 400 {"error":"Файл артефакта не найден на сервере"}</t>
  </si>
  <si>
    <t xml:space="preserve">DEF-17</t>
  </si>
  <si>
    <t xml:space="preserve">INT-41</t>
  </si>
  <si>
    <t xml:space="preserve">CRUD пользователей администратором</t>
  </si>
  <si>
    <t xml:space="preserve">POST → GET → PUT (роль ADMIN, пароль) → вход с новым паролем → DELETE</t>
  </si>
  <si>
    <t xml:space="preserve">201/200 на каждом шаге, новые права действуют</t>
  </si>
  <si>
    <t xml:space="preserve">создан, повышен до ADMIN, вход с новым паролем, поиск+фильтр, удалён</t>
  </si>
  <si>
    <t xml:space="preserve">INT-42</t>
  </si>
  <si>
    <t xml:space="preserve">Защита от самоблокировки администратора</t>
  </si>
  <si>
    <t xml:space="preserve">Админ удаляет себя; снимает с себя роль ADMIN</t>
  </si>
  <si>
    <t xml:space="preserve">400 в обоих случаях</t>
  </si>
  <si>
    <t xml:space="preserve">400 / 400</t>
  </si>
  <si>
    <t xml:space="preserve">INT-43</t>
  </si>
  <si>
    <t xml:space="preserve">Смена email администратором самому себе</t>
  </si>
  <si>
    <t xml:space="preserve">Админ меняет свой email через PUT /users/{id}</t>
  </si>
  <si>
    <t xml:space="preserve">Сессия продолжает работать (или выдаётся новый токен)</t>
  </si>
  <si>
    <t xml:space="preserve">PUT → 200, затем /users/me со старым токеном → 403</t>
  </si>
  <si>
    <t xml:space="preserve">DEF-18</t>
  </si>
  <si>
    <t xml:space="preserve">INT-44</t>
  </si>
  <si>
    <t xml:space="preserve">Перезапуск backend: сохранность данных</t>
  </si>
  <si>
    <t xml:space="preserve">Graceful-остановка (SIGTERM) и запуск jar; повторный старт DataSeeder</t>
  </si>
  <si>
    <t xml:space="preserve">Данные сохранены, дублей каталога нет, токен остаётся валидным</t>
  </si>
  <si>
    <t xml:space="preserve">компонентов/образов (71, 31) = до рестарта; простой 12 с; токен валиден</t>
  </si>
  <si>
    <t xml:space="preserve">INT-45</t>
  </si>
  <si>
    <t xml:space="preserve">Падение backend (kill -9) во время сборки</t>
  </si>
  <si>
    <t xml:space="preserve">3 заказа в очереди, kill -9 в момент BUILDING, запуск backend</t>
  </si>
  <si>
    <t xml:space="preserve">Прерванные сборки возобновляются или помечаются FAILED; их можно пересобрать/удалить</t>
  </si>
  <si>
    <t xml:space="preserve">через 15 с после рестарта статусы {33: 'BUILDING', 34: 'QUEUED', 35: 'QUEUED'}; попытки PUT/DELETE зависших: {33: (400, 400), 34: (400, 204), 35: (400, 204)}</t>
  </si>
  <si>
    <t xml:space="preserve">DEF-19</t>
  </si>
  <si>
    <t xml:space="preserve">INT-46</t>
  </si>
  <si>
    <t xml:space="preserve">Недоступность БД</t>
  </si>
  <si>
    <t xml:space="preserve">Остановка MySQL; запросы к API; запуск MySQL; повтор запросов без рестарта backend</t>
  </si>
  <si>
    <t xml:space="preserve">Во время сбоя — быстрый 5xx (≤ 5 с) без утечки деталей; после восстановления — 200 без рестарта</t>
  </si>
  <si>
    <t xml:space="preserve">во время сбоя HTTP 403 за 28.3 с; восстановление без рестарта за 2.9 с</t>
  </si>
  <si>
    <t xml:space="preserve">DEF-20</t>
  </si>
  <si>
    <t xml:space="preserve">INT-47</t>
  </si>
  <si>
    <t xml:space="preserve">Состояние стенда после всех тестов</t>
  </si>
  <si>
    <t xml:space="preserve">Ошибки в логе backend (ERROR/Exception), итоговые проверки API</t>
  </si>
  <si>
    <t xml:space="preserve">API отвечает, очередь пуста</t>
  </si>
  <si>
    <t xml:space="preserve">API отвечает</t>
  </si>
  <si>
    <t xml:space="preserve">E2E-01</t>
  </si>
  <si>
    <t xml:space="preserve">Открытие главной, редирект в библиотеку, отрисовка карточек</t>
  </si>
  <si>
    <t xml:space="preserve">Переход на / без авторизации; ожидание первой карточки образа</t>
  </si>
  <si>
    <t xml:space="preserve">Редирект на /library/images, карточки отрисованы &lt; 2 с</t>
  </si>
  <si>
    <t xml:space="preserve">/library/images, карточек 12, первая карточка через 412 мс (DOMContentLoaded 50 мс)</t>
  </si>
  <si>
    <t xml:space="preserve">E2E-02</t>
  </si>
  <si>
    <t xml:space="preserve">Регистрация через форму</t>
  </si>
  <si>
    <t xml:space="preserve">Заполнение формы /register валидными данными</t>
  </si>
  <si>
    <t xml:space="preserve">Вход выполнен, токен сохранён, переход в библиотеку</t>
  </si>
  <si>
    <t xml:space="preserve">после регистрации → /library/images, токен в localStorage: true</t>
  </si>
  <si>
    <t xml:space="preserve">E2E-03</t>
  </si>
  <si>
    <t xml:space="preserve">Фильтр по компоненту и сортировка по цене</t>
  </si>
  <si>
    <t xml:space="preserve">Выбор openssh в фильтре компонентов, сортировка «Цена: по убыванию»</t>
  </si>
  <si>
    <t xml:space="preserve">IoT Edge, Media Box (по убыванию цены)</t>
  </si>
  <si>
    <t xml:space="preserve">IoT Edge, Media Box</t>
  </si>
  <si>
    <t xml:space="preserve">E2E-04</t>
  </si>
  <si>
    <t xml:space="preserve">Заказ сборки в редакторе</t>
  </si>
  <si>
    <t xml:space="preserve">Редактор образа: название, поиск ffmpeg в каталоге, добавление, «Собрать»; проверка в личном кабинете</t>
  </si>
  <si>
    <t xml:space="preserve">Образ появляется в «Мои образы», статус доходит до «Готов», зависимость glibc добавлена автоматически</t>
  </si>
  <si>
    <t xml:space="preserve">в кабинете: E2E образ | Готов | buildroot | RV1103_Luckfox_Pico | glibc | ffmpeg | 80 ед. | Скачать .img</t>
  </si>
  <si>
    <t xml:space="preserve">E2E-05</t>
  </si>
  <si>
    <t xml:space="preserve">Скачивание .img из интерфейса</t>
  </si>
  <si>
    <t xml:space="preserve">Кнопка «Скачать .img» на карточке готового образа</t>
  </si>
  <si>
    <t xml:space="preserve">Браузер сохраняет файл &lt;название&gt;.img корректного размера</t>
  </si>
  <si>
    <t xml:space="preserve">файл «E2E образ.img», 18 874 368 байт (18 МБ = 16 + 2 компонента)</t>
  </si>
  <si>
    <t xml:space="preserve">E2E-06</t>
  </si>
  <si>
    <t xml:space="preserve">Недействительный токен в браузере</t>
  </si>
  <si>
    <t xml:space="preserve">В localStorage подменён токен, открыт /account</t>
  </si>
  <si>
    <t xml:space="preserve">Сессия сбрасывается, редирект на /login</t>
  </si>
  <si>
    <t xml:space="preserve">пользователь остался на /account: «Request failed with status code 403 | Вы ещё не заказывали сборки» — API отвечает 403, а клиент перехватывает только 401</t>
  </si>
  <si>
    <t xml:space="preserve">E2E-07</t>
  </si>
  <si>
    <t xml:space="preserve">Админ: страница пользователей и поиск</t>
  </si>
  <si>
    <t xml:space="preserve">Вход admin, /admin/users, поиск по «e2e-»</t>
  </si>
  <si>
    <t xml:space="preserve">Зарегистрированный в E2E-02 пользователь найден</t>
  </si>
  <si>
    <t xml:space="preserve">пользователь найден</t>
  </si>
  <si>
    <t xml:space="preserve">E2E-08</t>
  </si>
  <si>
    <t xml:space="preserve">Неверный пароль в форме входа</t>
  </si>
  <si>
    <t xml:space="preserve">Вход admin с неверным паролем</t>
  </si>
  <si>
    <t xml:space="preserve">Понятное сообщение «Неверный email или пароль»</t>
  </si>
  <si>
    <t xml:space="preserve">показано техническое сообщение «Request failed with status code 403»</t>
  </si>
  <si>
    <t xml:space="preserve">E2E-09</t>
  </si>
  <si>
    <t xml:space="preserve">JS-ошибки за весь сценарий</t>
  </si>
  <si>
    <t xml:space="preserve">Подписка на pageerror во время E2E-01…08</t>
  </si>
  <si>
    <t xml:space="preserve">Нет необработанных исключений JS</t>
  </si>
  <si>
    <t xml:space="preserve">нет</t>
  </si>
  <si>
    <t xml:space="preserve">Реестр дефектов</t>
  </si>
  <si>
    <t xml:space="preserve">Серьёзность: Критическая — безопасность/потеря данных; Высокая — функция недоступна; Средняя — неверное поведение с обходом; Низкая — косметика/удобство.</t>
  </si>
  <si>
    <t xml:space="preserve">Описание</t>
  </si>
  <si>
    <t xml:space="preserve">Где обнаружен</t>
  </si>
  <si>
    <t xml:space="preserve">Рекомендация по исправлению</t>
  </si>
  <si>
    <t xml:space="preserve">Секрет JWT захардкожен в JwtService и лежит в Git: любой, кто видел репозиторий, может выпустить токен администратора</t>
  </si>
  <si>
    <t xml:space="preserve">Читать секрет из переменной окружения/секрета, сгенерировать новый, старый считать скомпрометированным</t>
  </si>
  <si>
    <t xml:space="preserve">Открыт</t>
  </si>
  <si>
    <t xml:space="preserve">Некорректный/поддельный/просроченный JWT приводит к исключению в JwtAuthenticationFilter (ответ 403/500 вместо 401), в лог пишется стектрейс</t>
  </si>
  <si>
    <t xml:space="preserve">INT-12, INT-13</t>
  </si>
  <si>
    <t xml:space="preserve">Оборачивать разбор JWT в try/catch (JwtException) и продолжать цепочку как аноним → 401</t>
  </si>
  <si>
    <t xml:space="preserve">Нет проверки владельца при скачивании: любой авторизованный пользователь скачивает чужие образы по id (IDOR)</t>
  </si>
  <si>
    <t xml:space="preserve">В download проверять, что образ в orderedImages текущего пользователя или роль ADMIN</t>
  </si>
  <si>
    <t xml:space="preserve">Очередь сборок живёт только в памяти: после перезапуска/падения backend образы навсегда остаются QUEUED/BUILDING, их нельзя ни изменить, ни удалить (BUILDING), пользователь никогда не получит образ</t>
  </si>
  <si>
    <t xml:space="preserve">При старте переводить BUILDING→FAILED и заново ставить QUEUED в очередь (ApplicationReadyEvent); либо хранить очередь в БД</t>
  </si>
  <si>
    <t xml:space="preserve">DEF-21</t>
  </si>
  <si>
    <t xml:space="preserve">Нет ограничения частоты попыток входа: в L-06 за 4 мин с одного адреса принято 9 618 входов без блокировки и задержек. При 100 попытках/с BCrypt занимает ≈8 ядер, и вход остальных пользователей замедляется в 11 раз — возможны перебор паролей и отказ в обслуживании входа.</t>
  </si>
  <si>
    <t xml:space="preserve">L-06</t>
  </si>
  <si>
    <t xml:space="preserve">Ограничение частоты для /api/auth/login по IP и email (Bucket4j, nginx limit_req), нарастающая задержка/блокировка после N неудач, ответ 429</t>
  </si>
  <si>
    <t xml:space="preserve">Исправлен: 429 после 5 неудач (INT-48)</t>
  </si>
  <si>
    <t xml:space="preserve">Разрешённый CORS-origin захардкожен (http://localhost:5173) в WebConfig</t>
  </si>
  <si>
    <t xml:space="preserve">Вынести список origin в application.properties/переменную окружения (CORS_ALLOWED_ORIGINS)</t>
  </si>
  <si>
    <t xml:space="preserve">Неверный логин/пароль возвращает 403 без тела вместо 401</t>
  </si>
  <si>
    <t xml:space="preserve">INT-10, E2E-08</t>
  </si>
  <si>
    <t xml:space="preserve">Обрабатывать AuthenticationException в GlobalExceptionHandler (401 + сообщение); разрешить /error в SecurityConfig</t>
  </si>
  <si>
    <t xml:space="preserve">Запрос без токена/с недействительным токеном получает 403 вместо 401 — фронтенд (interceptor по 401) не выкидывает пользователя на страницу входа</t>
  </si>
  <si>
    <t xml:space="preserve">INT-11, INT-34, E2E-06</t>
  </si>
  <si>
    <t xml:space="preserve">Настроить authenticationEntryPoint (HttpStatusEntryPoint(UNAUTHORIZED)) в SecurityConfig</t>
  </si>
  <si>
    <t xml:space="preserve">Запрос с токеном удалённого пользователя: UsernameNotFoundException в фильтре → 403/500</t>
  </si>
  <si>
    <t xml:space="preserve">Ловить UsernameNotFoundException в JwtAuthenticationFilter и отвечать 401</t>
  </si>
  <si>
    <t xml:space="preserve">Ошибки разбора параметров у анонимного пользователя возвращают 403 вместо 400 (ошибка уходит на /error, закрытый Spring Security)</t>
  </si>
  <si>
    <t xml:space="preserve">Разрешить /error в SecurityConfig (permitAll) и обработать MethodArgumentTypeMismatchException → 400</t>
  </si>
  <si>
    <t xml:space="preserve">N+1 запросов: список из 12 образов порождает десятки SQL-запросов (ленивые components и dependencies грузятся поштучно)</t>
  </si>
  <si>
    <t xml:space="preserve">@EntityGraph / JOIN FETCH для components.type, batch-size для коллекций (hibernate.default_batch_fetch_size)</t>
  </si>
  <si>
    <t xml:space="preserve">Исправлен: 389 → 11 SQL (L-10b повторно)</t>
  </si>
  <si>
    <t xml:space="preserve">При недоступной БД запрос висит ~30 с (connection-timeout Hikari по умолчанию), анонимный клиент получает 403 вместо 503</t>
  </si>
  <si>
    <t xml:space="preserve">spring.datasource.hikari.connection-timeout=3000; обработчик DataAccessException → 503; permitAll для /error</t>
  </si>
  <si>
    <t xml:space="preserve">Исправлен: 503 за 3 с (INT-46)</t>
  </si>
  <si>
    <t xml:space="preserve">DEF-22</t>
  </si>
  <si>
    <t xml:space="preserve">Пропускная способность чтения ограничена ≈1 300 запросов/с из-за БД: ≈12,5 SQL на HTTP-запрос (N+1) и пул HikariCP в 10 соединений. При превышении нет обратного давления — запросы копятся, задержка растёт до 2–3 с, вместо быстрого отказа 503.</t>
  </si>
  <si>
    <t xml:space="preserve">L-04, L-04b</t>
  </si>
  <si>
    <t xml:space="preserve">Устранить N+1 (DEF-12), подобрать maximum-pool-size под ядра MySQL, кэшировать каталоги (Caffeine + ETag/Cache-Control), ограничить server.tomcat.threads.max/accept-count и connection-timeout для быстрого отказа</t>
  </si>
  <si>
    <t xml:space="preserve">Исправлен: предел 1 470 → 3 830 rps</t>
  </si>
  <si>
    <t xml:space="preserve">DEF-24</t>
  </si>
  <si>
    <t xml:space="preserve">Очередь сборок с одним воркером без лимита заказов на пользователя и без отображения позиции/ожидаемого времени: в L-07 60 заказов ждали до 189 с при 3 с на сборку. При реальной сборке 1–3 ч это 60–180 ч ожидания, и пользователь его не видит.</t>
  </si>
  <si>
    <t xml:space="preserve">INT-36, L-07</t>
  </si>
  <si>
    <t xml:space="preserve">Лимит активных заказов на пользователя, позиция в очереди и ETA в API/UI, несколько воркеров с изолированными копиями SDK или отдельные сборочные узлы</t>
  </si>
  <si>
    <t xml:space="preserve">server.mjs отдаёт index.html со статусом 200 вместо 404 для отсутствующих /assets/*</t>
  </si>
  <si>
    <t xml:space="preserve">Для путей с расширением файла возвращать 404; SPA-fallback только для маршрутов без расширения</t>
  </si>
  <si>
    <t xml:space="preserve">Срок жизни JWT 4 ч вместо заявленных 24 ч (1000*60*24*10 мс)</t>
  </si>
  <si>
    <t xml:space="preserve">Исправить на 1000L*60*60*24 и вынести в конфигурацию (jwt.expiration)</t>
  </si>
  <si>
    <t xml:space="preserve">Символы % и _ в поиске не экранируются и работают как шаблоны LIKE (поиск «%» возвращает весь каталог)</t>
  </si>
  <si>
    <t xml:space="preserve">Экранировать % и _ (cb.like(..., escapeChar))</t>
  </si>
  <si>
    <t xml:space="preserve">Имя компонента длиннее 255 символов даёт 409 с вводящим в заблуждение сообщением «запись используется в других объектах» вместо 400 валидации</t>
  </si>
  <si>
    <t xml:space="preserve">@Size(max=255) на name в ComponentRequest/BuildRequest/UserRequest</t>
  </si>
  <si>
    <t xml:space="preserve">Для образов с кириллическим названием заголовок Content-Disposition теряется: при скачивании по прямой ссылке или через API файл сохраняется без имени и расширения. Интерфейс не затронут — он задаёт имя файла сам (E2E-05).</t>
  </si>
  <si>
    <t xml:space="preserve">ContentDisposition.attachment().filename(name, UTF_8) из Spring</t>
  </si>
  <si>
    <t xml:space="preserve">Если файл артефакта пропал с диска, карточка продолжает показывать «Скачать» (downloadable=true), а скачивание даёт 400</t>
  </si>
  <si>
    <t xml:space="preserve">Проверять существование файла при формировании downloadable или помечать образ FAILED/переводить в пересборку</t>
  </si>
  <si>
    <t xml:space="preserve">После смены собственного email старый JWT (sub=старый email) перестаёт работать — админ внезапно получает ошибки вместо перелогина</t>
  </si>
  <si>
    <t xml:space="preserve">Возвращать новый токен после смены email или запрещать смену своего email</t>
  </si>
  <si>
    <t xml:space="preserve">DEF-23</t>
  </si>
  <si>
    <t xml:space="preserve">Нет индексов для поиска, фильтра по статусу, сортировки по цене и глубокой пагинации: на 20 тыс. образов page=1500 замедлилась в 7,5 раза (OFFSET), сортировка по цене — filesort (34 мс), LIKE '%…%' — полное сканирование; count(*) на каждую страницу.</t>
  </si>
  <si>
    <t xml:space="preserve">L-10b</t>
  </si>
  <si>
    <t xml:space="preserve">Индексы Image(state, cost), Image(name), Component(type, cost); keyset-пагинация или ограничение максимального номера страницы; полнотекстовый поиск при росте каталога</t>
  </si>
  <si>
    <t xml:space="preserve">Частично: индексы добавлены, поиск по подстроке — полный проход</t>
  </si>
  <si>
    <t xml:space="preserve">Оптимизация по итогам нагрузочного тестирования: до и после</t>
  </si>
  <si>
    <t xml:space="preserve">Те же профили k6 и стенд; «до» — версия 27e1fb0, «после» — с исправлениями ниже. Объёмный тест — та же БД ×100 (volume_seed.sql). Повторный интеграционный прогон — как и первый, на чистой БД после DataSeeder.</t>
  </si>
  <si>
    <t xml:space="preserve">1. Внесённые исправления</t>
  </si>
  <si>
    <t xml:space="preserve">Изменение</t>
  </si>
  <si>
    <t xml:space="preserve">Файлы</t>
  </si>
  <si>
    <t xml:space="preserve">Пакетная догрузка ленивых связей: hibernate.default_batch_fetch_size=100 — components, dependencies и типы компонентов грузятся одним IN (...) на страницу вместо запроса на каждую строку</t>
  </si>
  <si>
    <t xml:space="preserve">DEF-12, DEF-22</t>
  </si>
  <si>
    <t xml:space="preserve">application.properties</t>
  </si>
  <si>
    <t xml:space="preserve">Отключён Open Session In View (spring.jpa.open-in-view=false): соединение с БД больше не удерживается до конца HTTP-запроса — в том числе на время проверки пароля BCrypt при входе</t>
  </si>
  <si>
    <t xml:space="preserve">DEF-22, DEF-21</t>
  </si>
  <si>
    <t xml:space="preserve">Пользователь с ролями — одним JOIN (@EntityGraph на findByEmail): запрос выполняется JWT-фильтром на каждый авторизованный запрос</t>
  </si>
  <si>
    <t xml:space="preserve">UserRepository.java</t>
  </si>
  <si>
    <t xml:space="preserve">Соединения пула без autocommit (hikari.auto-commit=false + provider_disables_autocommit): минус SET autocommit=0/1 вокруг каждой транзакции</t>
  </si>
  <si>
    <t xml:space="preserve">Пул HikariCP 10 → 20 соединений; connection-timeout 30 → 3 с и ответ 503 + Retry-After при исчерпании пула (быстрый отказ вместо ожидания)</t>
  </si>
  <si>
    <t xml:space="preserve">DEF-22, DEF-20</t>
  </si>
  <si>
    <t xml:space="preserve">application.properties, GlobalExceptionHandler.java</t>
  </si>
  <si>
    <t xml:space="preserve">Индексы Image(state, cost), Image(cost), Component(name, id), Component(type, cost) — фильтр по статусу, сортировка по цене и названию без filesort</t>
  </si>
  <si>
    <t xml:space="preserve">Image.java, Component.java</t>
  </si>
  <si>
    <t xml:space="preserve">Ограничение неудачных входов: 5 на email и 20 на IP за 5 мин, сверх лимита — 429 + Retry-After без проверки BCrypt</t>
  </si>
  <si>
    <t xml:space="preserve">LoginAttemptService.java, AuthenticationService.java, AuthController.java</t>
  </si>
  <si>
    <t xml:space="preserve">84 модульных теста (JUnit 5 + Mockito) на сервисы, DTO, валидацию и обработчик ошибок: mvn test — 84/84</t>
  </si>
  <si>
    <t xml:space="preserve">—</t>
  </si>
  <si>
    <t xml:space="preserve">backend/src/test/java/…</t>
  </si>
  <si>
    <t xml:space="preserve">2а. Одиночные запросы каталога, стартовая БД (388 образов): SQL на HTTP-запрос и задержка</t>
  </si>
  <si>
    <t xml:space="preserve">Запрос</t>
  </si>
  <si>
    <t xml:space="preserve">SQL до</t>
  </si>
  <si>
    <t xml:space="preserve">SQL после</t>
  </si>
  <si>
    <t xml:space="preserve">p95 до, мс</t>
  </si>
  <si>
    <t xml:space="preserve">p95 после, мс</t>
  </si>
  <si>
    <t xml:space="preserve">Ускорение p95, раз</t>
  </si>
  <si>
    <t xml:space="preserve">Итог</t>
  </si>
  <si>
    <t xml:space="preserve">Образы: первая страница (12)</t>
  </si>
  <si>
    <t xml:space="preserve">Образы: страница 100 макс. размера</t>
  </si>
  <si>
    <t xml:space="preserve">Образы: глубокая страница (page=1500)</t>
  </si>
  <si>
    <t xml:space="preserve">Образы: поиск по подстроке</t>
  </si>
  <si>
    <t xml:space="preserve">Образы: фильтр по 2 компонентам</t>
  </si>
  <si>
    <t xml:space="preserve">Образы: сортировка по цене ↓ + статус</t>
  </si>
  <si>
    <t xml:space="preserve">Компоненты: первая страница</t>
  </si>
  <si>
    <t xml:space="preserve">Компоненты: поиск + тип + цена ↑</t>
  </si>
  <si>
    <t xml:space="preserve">Пользователи (ADMIN): поиск</t>
  </si>
  <si>
    <t xml:space="preserve">2б. Одиночные запросы каталога, БД ×100 (20 тыс. образов): SQL на HTTP-запрос и задержка</t>
  </si>
  <si>
    <t xml:space="preserve">3. Под нагрузкой: ключевые показатели профилей до и после</t>
  </si>
  <si>
    <t xml:space="preserve">Показатель</t>
  </si>
  <si>
    <t xml:space="preserve">До</t>
  </si>
  <si>
    <t xml:space="preserve">После</t>
  </si>
  <si>
    <t xml:space="preserve">Макс. пропускная способность, запросов/с</t>
  </si>
  <si>
    <t xml:space="preserve">Медиана на ступени 1 500 ит/с, мс</t>
  </si>
  <si>
    <t xml:space="preserve">Медиана на ступени 2 000 ит/с, мс</t>
  </si>
  <si>
    <t xml:space="preserve">Медиана на ступени 4 000 ит/с, мс</t>
  </si>
  <si>
    <t xml:space="preserve">Ошибки, %</t>
  </si>
  <si>
    <t xml:space="preserve">SQL-запросов на HTTP-запрос</t>
  </si>
  <si>
    <t xml:space="preserve">p95 за профиль, мс</t>
  </si>
  <si>
    <t xml:space="preserve">p95 на ступени 600 ит/с, мс</t>
  </si>
  <si>
    <t xml:space="preserve">CPU mysqld средн., %</t>
  </si>
  <si>
    <t xml:space="preserve">CPU java средн., %</t>
  </si>
  <si>
    <t xml:space="preserve">p95, мс (стартовая БД, 40 запросов/с)</t>
  </si>
  <si>
    <t xml:space="preserve">p95, мс (БД ×100, 40 запросов/с)</t>
  </si>
  <si>
    <t xml:space="preserve">p99, мс (БД ×100)</t>
  </si>
  <si>
    <t xml:space="preserve">CPU mysqld средн., % (БД ×100)</t>
  </si>
  <si>
    <t xml:space="preserve">SQL-запросов на HTTP-запрос (БД ×100)</t>
  </si>
  <si>
    <t xml:space="preserve">p95, мс (100 VU, целевой профиль)</t>
  </si>
  <si>
    <t xml:space="preserve">p95 входа, мс (до 100 входов/с)</t>
  </si>
  <si>
    <t xml:space="preserve">4а. L-04b Стресс до отказа: ступени до и после</t>
  </si>
  <si>
    <t xml:space="preserve">Цель, итераций/с</t>
  </si>
  <si>
    <t xml:space="preserve">Достигнуто до, /с</t>
  </si>
  <si>
    <t xml:space="preserve">Достигнуто после, /с</t>
  </si>
  <si>
    <t xml:space="preserve">Med до, мс</t>
  </si>
  <si>
    <t xml:space="preserve">Med после, мс</t>
  </si>
  <si>
    <t xml:space="preserve">Ошибки после</t>
  </si>
  <si>
    <t xml:space="preserve">4б. L-04 Стресс: ступени до и после</t>
  </si>
  <si>
    <t xml:space="preserve">5. Регрессия: повторный интеграционный прогон на исправленной версии</t>
  </si>
  <si>
    <t xml:space="preserve">Прогон</t>
  </si>
  <si>
    <t xml:space="preserve">Тестов</t>
  </si>
  <si>
    <t xml:space="preserve">До исправлений</t>
  </si>
  <si>
    <t xml:space="preserve">После исправлений</t>
  </si>
  <si>
    <t xml:space="preserve">Результат после исправлений</t>
  </si>
  <si>
    <t xml:space="preserve">Защита от перебора паролей</t>
  </si>
  <si>
    <t xml:space="preserve">INT-48</t>
  </si>
  <si>
    <t xml:space="preserve">новый</t>
  </si>
  <si>
    <t xml:space="preserve">попытки [403, 403, 403, 403, 403, 429, 429]; верный пароль в окне блокировки → 429, Retry-After 300 с; другой пользователь вошёл</t>
  </si>
  <si>
    <t xml:space="preserve">9 / 9</t>
  </si>
  <si>
    <t xml:space="preserve">503 за 3.0 с; восстановление 1.0 с</t>
  </si>
  <si>
    <t xml:space="preserve">6. Выводы</t>
  </si>
  <si>
    <t xml:space="preserve">• Предел пропускной способности чтения вырос в 2,6 раза: 1 470 → 3 830 запросов/с (L-04b). На ступенях 1 500 и 2 000 итераций/с медиана упала с 2,7 с до 3,2–3,4 мс — система больше не копит очередь; пропущенных итераций k6 — 526 тыс. → 81 тыс. Новый предел упирается в CPU машины (backend до 11 ядер, генератор нагрузки на той же машине), а не в пул БД.</t>
  </si>
  <si>
    <t xml:space="preserve">• На одинаковой нагрузке ресурсов нужно вдвое меньше: в L-04 (до 780 запросов/с) p95 15,0 → 6,9 мс, SQL-запросов/с 4 291 → 1 970, CPU mysqld 97 → 56 %, CPU backend 80 → 56 %.</t>
  </si>
  <si>
    <t xml:space="preserve">• Целевой профиль L-03 (100 одновременных пользователей): p95 17,5 → 5,6 мс, p99 34,4 → 16,3 мс, CPU backend 26 → 13 %, CPU mysqld 20 → 8 %.</t>
  </si>
  <si>
    <t xml:space="preserve">• Шторм входов L-06: на 100 входах/с медиана 912 → 104 мс, p95 1 050 → 127 мс, пропущенных итераций 56 → 0. Причина прежнего «колена» — Open Session In View: соединение с БД удерживалось всё время проверки пароля BCrypt, и 100 входов/с исчерпывали пул из 10 соединений. Предел входов теперь задаёт только CPU (BCrypt).</t>
  </si>
  <si>
    <t xml:space="preserve">• N+1 устранён: число SQL на страницу больше не зависит от её размера — 9–11 запросов на любую страницу (было 23–389). Страница из 100 образов на БД ×100: 389 → 11 SQL, p95 102,8 → 11,8 мс. Одиночные запросы на стартовой БД ускорились в 2–3 раза, хотя образов стало больше (388 → 508, добавились сборки из L-03). Единственное «хуже» среди одиночных запросов — поиск пользователей на стартовой БД (p95 5,0 → 5,9 мс, в пределах разброса).</t>
  </si>
  <si>
    <t xml:space="preserve">• Не улучшилось: p95 объёмного профиля L-10b под нагрузкой (27,7 → 29,8 мс, в пределах разброса) при снижении SQL/с на 66 %. На 20 тыс. образов время ответа определяют поиск по подстроке LIKE '%…%' и count(*) — полный проход таблицы, который индексами не лечится. Дальше — полнотекстовый индекс (FULLTEXT ngram) и keyset-пагинация (DEF-23, частично).</t>
  </si>
  <si>
    <t xml:space="preserve">• Регрессий нет. Повторный интеграционный прогон на чистой БД: изменились только INT-23 (N+1) и INT-46 (недоступная БД: 503 за 3,0 с вместо 403 через ~30 с) — FAIL → PASS, новый INT-48 (перебор паролей) — PASS; остальные результаты совпали с первым прогоном. LazyInitializationException после отключения Open Session In View — ни одного. Ни в одном из 6 повторных нагрузочных профилей нет HTTP-ошибок. Модульные тесты — 84/84.</t>
  </si>
  <si>
    <t xml:space="preserve">• Не исправлялось (вне задачи оптимизации или архитектурное): очередь сборок с одним воркером (DEF-24 — SDK использует общий каталог), дефекты безопасности и обработки ошибок (DEF-03/04/05/07/16/19).</t>
  </si>
  <si>
    <t xml:space="preserve">Сценарии нагрузочного тестирования (k6)</t>
  </si>
  <si>
    <t xml:space="preserve">Скрипт: tests/load/scenarios.js, запуск: tests/load/run_load.sh &lt;профиль&gt;</t>
  </si>
  <si>
    <t xml:space="preserve">Цель</t>
  </si>
  <si>
    <t xml:space="preserve">Модель нагрузки</t>
  </si>
  <si>
    <t xml:space="preserve">Действия виртуальных пользователей</t>
  </si>
  <si>
    <t xml:space="preserve">L-01</t>
  </si>
  <si>
    <t xml:space="preserve">Дымовой (baseline)
(PROFILE=smoke)</t>
  </si>
  <si>
    <t xml:space="preserve">Проверить работоспособность всех пользовательских путей под минимальной нагрузкой и получить эталонные времена отклика.</t>
  </si>
  <si>
    <t xml:space="preserve">constant-vus: 1 VU, 1 мин, пауза 1 с между итерациями</t>
  </si>
  <si>
    <t xml:space="preserve">Открытие сайта + ассеты → библиотека образов и компонентов → типы → вход → профиль → «Мои образы» → список пользователей (ADMIN); каждая 5-я итерация — заказ сборки, ожидание READY и скачивание</t>
  </si>
  <si>
    <t xml:space="preserve">ошибки &lt; 1 %; p95 &lt; 300 мс</t>
  </si>
  <si>
    <t xml:space="preserve">L-02</t>
  </si>
  <si>
    <t xml:space="preserve">Просмотр каталогов (гости)
(PROFILE=browse)</t>
  </si>
  <si>
    <t xml:space="preserve">Типовая нагрузка анонимных посетителей: чтение каталогов с поиском, фильтрами, сортировкой и пагинацией.</t>
  </si>
  <si>
    <t xml:space="preserve">ramping-vus: 0→50 VU за 1 мин, 3 мин удержание, 30 с спад; «время на чтение» 1–3 с</t>
  </si>
  <si>
    <t xml:space="preserve">Библиотека образов (случайные search/state/sort/page, 30 % — фильтр по 2 компонентам), 40 % — карточка образа, 50 % — библиотека компонентов, 20 % — типы</t>
  </si>
  <si>
    <t xml:space="preserve">ошибки &lt; 1 %; p95 чтения &lt; 500 мс</t>
  </si>
  <si>
    <t xml:space="preserve">L-03</t>
  </si>
  <si>
    <t xml:space="preserve">Смешанный продакшен-профиль (целевая нагрузка)
(PROFILE=mixed)</t>
  </si>
  <si>
    <t xml:space="preserve">Ожидаемая пиковая нагрузка: 100 одновременных пользователей разных ролей работают параллельно.</t>
  </si>
  <si>
    <t xml:space="preserve">4 параллельных сценария, ramping-vus 1 мин разгон, 5 мин удержание: гости 70 VU, пользователи 20 VU, заказчики сборок 8 VU, администраторы 2 VU</t>
  </si>
  <si>
    <t xml:space="preserve">Гости — как L-02; пользователи — вход, профиль, «Мои образы», каталоги; заказчики — каталог → заказ сборки → опрос статуса каждые 2 с → скачивание 18–19 МБ; админы — список пользователей, создание/изменение/удаление компонента</t>
  </si>
  <si>
    <t xml:space="preserve">ошибки &lt; 1 %; p95 чтения &lt; 500 мс; p95 записи &lt; 1000 мс</t>
  </si>
  <si>
    <t xml:space="preserve">L-04</t>
  </si>
  <si>
    <t xml:space="preserve">Стресс (поиск предела)
(PROFILE=stress)</t>
  </si>
  <si>
    <t xml:space="preserve">Найти точку насыщения: при какой интенсивности растёт задержка и появляются ошибки.</t>
  </si>
  <si>
    <t xml:space="preserve">ramping-arrival-rate без пауз: ступени 50 → 100 → 200 → 300 → 450 → 600 итераций/с по 1 мин (30 с разгон между ступенями), до 1500 VU</t>
  </si>
  <si>
    <t xml:space="preserve">Только чтение: 55 % библиотека образов (с фильтрами), 35 % компоненты, 5 % типы, 5 % HTML-страница; одна итерация ≈ 1,3 HTTP-запроса (часть итераций дополнительно открывает карточку)</t>
  </si>
  <si>
    <t xml:space="preserve">ошибки &lt; 1 %; p95 &lt; 500 мс (ожидается нарушение на верхних ступенях)</t>
  </si>
  <si>
    <t xml:space="preserve">L-04b</t>
  </si>
  <si>
    <t xml:space="preserve">Стресс до отказа (breakpoint)
(PROFILE=breakpoint)</t>
  </si>
  <si>
    <t xml:space="preserve">Продолжение L-04: найти предел пропускной способности чтения, при котором растут задержки/ошибки.</t>
  </si>
  <si>
    <t xml:space="preserve">ramping-arrival-rate без пауз: ступени 1000 → 1500 → 2000 → 3000 → 4000 итераций/с по 1 мин, до 3000 VU</t>
  </si>
  <si>
    <t xml:space="preserve">Как в L-04 (одна итерация ≈ 1,3 HTTP-запроса)</t>
  </si>
  <si>
    <t xml:space="preserve">фиксация точки насыщения (ошибки ≥ 1 % или p95 ≥ 500 мс)</t>
  </si>
  <si>
    <t xml:space="preserve">L-05</t>
  </si>
  <si>
    <t xml:space="preserve">Всплеск (spike)
(PROFILE=spike)</t>
  </si>
  <si>
    <t xml:space="preserve">Проверить реакцию на резкий наплыв (например, ссылка в соцсети) и восстановление после него.</t>
  </si>
  <si>
    <t xml:space="preserve">ramping-vus: 10 VU 1 мин → 400 VU за 10 с → 1 мин удержание → 10 VU за 10 с → 1 мин</t>
  </si>
  <si>
    <t xml:space="preserve">Гости с короткими паузами 0,5–1,5 с: образы, компоненты, карточки</t>
  </si>
  <si>
    <t xml:space="preserve">ошибки &lt; 1 %; p95 &lt; 500 мс; после всплеска задержка возвращается к исходной</t>
  </si>
  <si>
    <t xml:space="preserve">Шторм авторизаций
(PROFILE=login)</t>
  </si>
  <si>
    <t xml:space="preserve">Оценить пропускную способность входа (BCrypt — CPU-ёмкая операция) — например, утренний наплыв.</t>
  </si>
  <si>
    <t xml:space="preserve">ramping-arrival-rate: 10 → 25 → 50 → 100 входов/с по 30 с</t>
  </si>
  <si>
    <t xml:space="preserve">POST /auth/login существующими пользователями (50 учётных записей)</t>
  </si>
  <si>
    <t xml:space="preserve">ошибки &lt; 1 %; p95 входа &lt; 1000 мс</t>
  </si>
  <si>
    <t xml:space="preserve">L-07</t>
  </si>
  <si>
    <t xml:space="preserve">Пакет заказов сборки (очередь)
(PROFILE=burst)</t>
  </si>
  <si>
    <t xml:space="preserve">60 пользователей одновременно заказывают сборку: проверка очереди с одним воркером, времени ожидания и отсутствия потерь.</t>
  </si>
  <si>
    <t xml:space="preserve">per-vu-iterations: 60 VU × 1 заказ, опрос статуса каждые 2 с до READY (макс. 20 мин)</t>
  </si>
  <si>
    <t xml:space="preserve">POST /images/build → опрос GET /images/{id}</t>
  </si>
  <si>
    <t xml:space="preserve">ошибки &lt; 1 %; p95 заказа &lt; 1000 мс; все 60 образов READY</t>
  </si>
  <si>
    <t xml:space="preserve">L-08</t>
  </si>
  <si>
    <t xml:space="preserve">Скачивание артефактов
(PROFILE=download)</t>
  </si>
  <si>
    <t xml:space="preserve">Нагрузка на отдачу больших файлов (.img 17–19 МБ): пропускная способность и влияние на API.</t>
  </si>
  <si>
    <t xml:space="preserve">constant-vus: 20 VU, 2 мин, пауза 0,5–1,5 с</t>
  </si>
  <si>
    <t xml:space="preserve">GET /images/{id}/download случайного готового образа</t>
  </si>
  <si>
    <t xml:space="preserve">ошибки &lt; 1 %; p95 &lt; 3000 мс</t>
  </si>
  <si>
    <t xml:space="preserve">L-09</t>
  </si>
  <si>
    <t xml:space="preserve">Длительная нагрузка (soak)
(PROFILE=soak)</t>
  </si>
  <si>
    <t xml:space="preserve">Выявить деградацию во времени: утечки памяти, рост задержек, исчерпание соединений.</t>
  </si>
  <si>
    <t xml:space="preserve">constant-vus 15 мин: гости 28, пользователи 8, заказчики 3, админ 1 (40 VU)</t>
  </si>
  <si>
    <t xml:space="preserve">Как в L-03</t>
  </si>
  <si>
    <t xml:space="preserve">ошибки &lt; 1 %; p95 чтения &lt; 500 мс; нет роста heap/RSS и задержки к концу</t>
  </si>
  <si>
    <t xml:space="preserve">L-10a</t>
  </si>
  <si>
    <t xml:space="preserve">Объём: базовая БД
(PROFILE=volume_base)</t>
  </si>
  <si>
    <t xml:space="preserve">Эталон для объёмного теста — чтение каталогов на стартовых данных при фиксированной интенсивности.</t>
  </si>
  <si>
    <t xml:space="preserve">constant-arrival-rate: 40 запросов/с, 3 мин</t>
  </si>
  <si>
    <t xml:space="preserve">Как в L-04 (только чтение)</t>
  </si>
  <si>
    <t xml:space="preserve">ошибки &lt; 1 %; p95 &lt; 500 мс</t>
  </si>
  <si>
    <t xml:space="preserve">Объём: БД ×100
(PROFILE=volume)</t>
  </si>
  <si>
    <t xml:space="preserve">То же при объёме данных, близком к продакшену через 1–2 года (20 000 образов, 2 000 компонентов, 5 000 пользователей).</t>
  </si>
  <si>
    <t xml:space="preserve">Итоги нагрузочных профилей</t>
  </si>
  <si>
    <t xml:space="preserve">Задержки — http_req_duration k6 (мс). Ресурсы — посекундный мониторинг /proc + jstat + SHOW GLOBAL STATUS. CPU процесса: 100 % = 1 ядро (всего 16 логических).</t>
  </si>
  <si>
    <t xml:space="preserve">Длит., с</t>
  </si>
  <si>
    <t xml:space="preserve">Итераций</t>
  </si>
  <si>
    <t xml:space="preserve">RPS пик</t>
  </si>
  <si>
    <t xml:space="preserve">VU макс.</t>
  </si>
  <si>
    <t xml:space="preserve">Коды ответа</t>
  </si>
  <si>
    <t xml:space="preserve">Avg, мс</t>
  </si>
  <si>
    <t xml:space="preserve">Min, мс</t>
  </si>
  <si>
    <t xml:space="preserve">Med, мс</t>
  </si>
  <si>
    <t xml:space="preserve">Max, мс</t>
  </si>
  <si>
    <t xml:space="preserve">p90, мс</t>
  </si>
  <si>
    <t xml:space="preserve">Получено, МБ</t>
  </si>
  <si>
    <t xml:space="preserve">МБ/с</t>
  </si>
  <si>
    <t xml:space="preserve">CPU java ср./макс., %</t>
  </si>
  <si>
    <t xml:space="preserve">CPU mysqld ср./макс., %</t>
  </si>
  <si>
    <t xml:space="preserve">CPU машины ср./макс., %</t>
  </si>
  <si>
    <t xml:space="preserve">Heap макс., МБ</t>
  </si>
  <si>
    <t xml:space="preserve">RSS java нач.→кон., МБ</t>
  </si>
  <si>
    <t xml:space="preserve">GC (кол-во / с)</t>
  </si>
  <si>
    <t xml:space="preserve">Соед. БД макс.</t>
  </si>
  <si>
    <t xml:space="preserve">SQL/с</t>
  </si>
  <si>
    <t xml:space="preserve">SLA</t>
  </si>
  <si>
    <t xml:space="preserve">Комментарий</t>
  </si>
  <si>
    <t xml:space="preserve">Дымовой (baseline)</t>
  </si>
  <si>
    <t xml:space="preserve">200: 314, 202: 6</t>
  </si>
  <si>
    <t xml:space="preserve">20.7 / 89.0</t>
  </si>
  <si>
    <t xml:space="preserve">3.2 / 11.0</t>
  </si>
  <si>
    <t xml:space="preserve">2.3 / 11.3</t>
  </si>
  <si>
    <t xml:space="preserve">693.7 → 703.9</t>
  </si>
  <si>
    <t xml:space="preserve">0 / 0.0</t>
  </si>
  <si>
    <t xml:space="preserve">Все пользовательские пути работают, 0 ошибок. Самые медленные — вход (≈110 мс, BCrypt) и скачивание образа.</t>
  </si>
  <si>
    <t xml:space="preserve">Просмотр каталогов (гости)</t>
  </si>
  <si>
    <t xml:space="preserve">200: 7772</t>
  </si>
  <si>
    <t xml:space="preserve">12.0 / 71.6</t>
  </si>
  <si>
    <t xml:space="preserve">9.6 / 20.6</t>
  </si>
  <si>
    <t xml:space="preserve">2.1 / 12.5</t>
  </si>
  <si>
    <t xml:space="preserve">766.9 → 759.2</t>
  </si>
  <si>
    <t xml:space="preserve">6 / 0.11</t>
  </si>
  <si>
    <t xml:space="preserve">50 гостей ≈ 30 запросов/с: p95 15 мс, java ≈12 % одного ядра — запас многократный.</t>
  </si>
  <si>
    <t xml:space="preserve">Смешанный продакшен-профиль (целевая нагрузка)</t>
  </si>
  <si>
    <t xml:space="preserve">200: 22299, 202: 116, 204: 74</t>
  </si>
  <si>
    <t xml:space="preserve">26.2 / 93.1</t>
  </si>
  <si>
    <t xml:space="preserve">20.1 / 33.5</t>
  </si>
  <si>
    <t xml:space="preserve">4.6 / 9.7</t>
  </si>
  <si>
    <t xml:space="preserve">759.5 → 786.5</t>
  </si>
  <si>
    <t xml:space="preserve">24 / 0.19</t>
  </si>
  <si>
    <t xml:space="preserve">Целевая нагрузка 100 VU: 0 ошибок из 22 489, p95 чтения 17,5 мс, записи &lt; 60 мс. 116 сборок, среднее время до READY 12,5 с (до 8 заказов в очереди).</t>
  </si>
  <si>
    <t xml:space="preserve">Стресс (поиск предела)</t>
  </si>
  <si>
    <t xml:space="preserve">200: 176498</t>
  </si>
  <si>
    <t xml:space="preserve">80.1 / 221.0</t>
  </si>
  <si>
    <t xml:space="preserve">97.4 / 233.2</t>
  </si>
  <si>
    <t xml:space="preserve">15.0 / 32.9</t>
  </si>
  <si>
    <t xml:space="preserve">786.7 → 789.8</t>
  </si>
  <si>
    <t xml:space="preserve">121 / 0.35</t>
  </si>
  <si>
    <t xml:space="preserve">До 600 итераций/с (≈755 запросов/с) деградации нет: p95 12–16 мс. java ≈150 %, mysqld ≈230 %; ≈12,5 SQL на HTTP-запрос.</t>
  </si>
  <si>
    <t xml:space="preserve">Стресс до отказа (breakpoint)</t>
  </si>
  <si>
    <t xml:space="preserve">200: 560700; пропущено итераций: 526012</t>
  </si>
  <si>
    <t xml:space="preserve">324.8 / 441.2</t>
  </si>
  <si>
    <t xml:space="preserve">442.3 / 602.3</t>
  </si>
  <si>
    <t xml:space="preserve">68.9 / 85.2</t>
  </si>
  <si>
    <t xml:space="preserve">838.2 → 980.6</t>
  </si>
  <si>
    <t xml:space="preserve">415 / 2.08</t>
  </si>
  <si>
    <t xml:space="preserve">Предел ≈1 300–1 470 запросов/с: с 1500 итераций/с пропускная способность перестаёт расти, медиана 2,1–2,7 с (очередь в Tomcat/Hikari), HTTP-ошибок нет. k6 упёрся в 3000 VU: 526 тыс. итераций пропущено (это и есть «отказ» по SLA). Узкое место — БД: 10 соединений, mysqld до 6 ядер, 16 тыс. SQL/с. Код k6 99 — критерий p95 нарушен (ожидаемо).</t>
  </si>
  <si>
    <t xml:space="preserve">Всплеск (spike)</t>
  </si>
  <si>
    <t xml:space="preserve">200: 55548</t>
  </si>
  <si>
    <t xml:space="preserve">72.4 / 259.8</t>
  </si>
  <si>
    <t xml:space="preserve">90.5 / 305.2</t>
  </si>
  <si>
    <t xml:space="preserve">13.9 / 42.1</t>
  </si>
  <si>
    <t xml:space="preserve">789.8 → 800.3</t>
  </si>
  <si>
    <t xml:space="preserve">42 / 0.14</t>
  </si>
  <si>
    <t xml:space="preserve">Всплеск 10 → 400 VU за 10 с (≈730 запросов/с): без ошибок и без роста p95; после спада задержка вернулась к исходной.</t>
  </si>
  <si>
    <t xml:space="preserve">Шторм авторизаций</t>
  </si>
  <si>
    <t xml:space="preserve">200: 9618; пропущено итераций: 56</t>
  </si>
  <si>
    <t xml:space="preserve">306.3 / 957.4</t>
  </si>
  <si>
    <t xml:space="preserve">3.7 / 10.8</t>
  </si>
  <si>
    <t xml:space="preserve">23.0 / 65.0</t>
  </si>
  <si>
    <t xml:space="preserve">801.7 → 819.5</t>
  </si>
  <si>
    <t xml:space="preserve">6 / 0.03</t>
  </si>
  <si>
    <t xml:space="preserve">BCrypt: до 50 входов/с медиана ≈80 мс; на 100 входах/с java ≈8 ядер, медиана 0,9 с (×11). Итоговый p95 988 мс — на грани SLA, на ступени 100/с SLA нарушен (1 050 мс).</t>
  </si>
  <si>
    <t xml:space="preserve">Пакет заказов сборки (очередь)</t>
  </si>
  <si>
    <t xml:space="preserve">200: 2999, 202: 60</t>
  </si>
  <si>
    <t xml:space="preserve">16.7 / 1232.7</t>
  </si>
  <si>
    <t xml:space="preserve">11.6 / 924.6</t>
  </si>
  <si>
    <t xml:space="preserve">1.7 / 14.0</t>
  </si>
  <si>
    <t xml:space="preserve">819.7 → 822.7</t>
  </si>
  <si>
    <t xml:space="preserve">10 / 0.09</t>
  </si>
  <si>
    <t xml:space="preserve">60 одновременных заказов приняты (p95 277 мс), все 60 собраны без сбоев, последний ждал 189 с: очередь строго последовательная, ≈3,2 с на сборку.</t>
  </si>
  <si>
    <t xml:space="preserve">Скачивание артефактов</t>
  </si>
  <si>
    <t xml:space="preserve">200: 2256</t>
  </si>
  <si>
    <t xml:space="preserve">85.7 / 355.4</t>
  </si>
  <si>
    <t xml:space="preserve">3.3 / 11.8</t>
  </si>
  <si>
    <t xml:space="preserve">13.7 / 28.5</t>
  </si>
  <si>
    <t xml:space="preserve">822.7 → 831.9</t>
  </si>
  <si>
    <t xml:space="preserve">8 / 0.05</t>
  </si>
  <si>
    <t xml:space="preserve">20 потоков: 361 МБ/с, 41,5 ГБ за 2 мин, p95 104 мс, ошибок нет. Число потоков Tomcat выросло до 150 и дальше держится (норма для пула).</t>
  </si>
  <si>
    <t xml:space="preserve">Длительная нагрузка (soak)</t>
  </si>
  <si>
    <t xml:space="preserve">200: 22971, 202: 173, 204: 86</t>
  </si>
  <si>
    <t xml:space="preserve">11.4 / 483.9</t>
  </si>
  <si>
    <t xml:space="preserve">10.2 / 356.5</t>
  </si>
  <si>
    <t xml:space="preserve">2.5 / 23.7</t>
  </si>
  <si>
    <t xml:space="preserve">831.9 → 838.2</t>
  </si>
  <si>
    <t xml:space="preserve">26 / 0.14</t>
  </si>
  <si>
    <t xml:space="preserve">15 мин, 23 230 запросов, 173 сборки: ни ошибок, ни дрейфа задержки (p95 по третям теста 20,6 → 17,8 → 18,7 мс), ни утечек (heap ≈200 МБ стабильно, RSS +6 МБ).</t>
  </si>
  <si>
    <t xml:space="preserve">Объём: базовая БД</t>
  </si>
  <si>
    <t xml:space="preserve">200: 8845</t>
  </si>
  <si>
    <t xml:space="preserve">8.1 / 17.0</t>
  </si>
  <si>
    <t xml:space="preserve">9.6 / 15.0</t>
  </si>
  <si>
    <t xml:space="preserve">1.8 / 4.3</t>
  </si>
  <si>
    <t xml:space="preserve">980.6 → 980.7</t>
  </si>
  <si>
    <t xml:space="preserve">7 / 0.02</t>
  </si>
  <si>
    <t xml:space="preserve">Эталон: 40 итераций/с на стартовых данных, p95 9 мс.</t>
  </si>
  <si>
    <t xml:space="preserve">Объём: БД ×100</t>
  </si>
  <si>
    <t xml:space="preserve">200: 8815</t>
  </si>
  <si>
    <t xml:space="preserve">9.5 / 23.0</t>
  </si>
  <si>
    <t xml:space="preserve">30.9 / 49.5</t>
  </si>
  <si>
    <t xml:space="preserve">3.5 / 6.7</t>
  </si>
  <si>
    <t xml:space="preserve">981.4 → 981.4</t>
  </si>
  <si>
    <t xml:space="preserve">10 / 0.02</t>
  </si>
  <si>
    <t xml:space="preserve">На БД ×100 p95 вырос в 3 раза (9 → 28 мс), в основном из-за списка образов (N+1: 56 SQL на страницу из 12); CPU mysqld ×3. SLA выполняется с запасом.</t>
  </si>
  <si>
    <t xml:space="preserve">Проверка критериев (thresholds k6)</t>
  </si>
  <si>
    <t xml:space="preserve">Метрика</t>
  </si>
  <si>
    <t xml:space="preserve">Условие</t>
  </si>
  <si>
    <t xml:space="preserve">Результат</t>
  </si>
  <si>
    <t xml:space="preserve">http_req_duration</t>
  </si>
  <si>
    <t xml:space="preserve">p(95)&lt;300</t>
  </si>
  <si>
    <t xml:space="preserve">http_req_failed</t>
  </si>
  <si>
    <t xml:space="preserve">rate&lt;0.01</t>
  </si>
  <si>
    <t xml:space="preserve">http_req_duration{kind:read}</t>
  </si>
  <si>
    <t xml:space="preserve">p(95)&lt;500</t>
  </si>
  <si>
    <t xml:space="preserve">http_req_duration{kind:write}</t>
  </si>
  <si>
    <t xml:space="preserve">p(95)&lt;1000</t>
  </si>
  <si>
    <t xml:space="preserve">http_req_duration{name:auth_login}</t>
  </si>
  <si>
    <t xml:space="preserve">http_req_duration{name:build_order}</t>
  </si>
  <si>
    <t xml:space="preserve">http_req_duration{name:download}</t>
  </si>
  <si>
    <t xml:space="preserve">p(95)&lt;3000</t>
  </si>
  <si>
    <t xml:space="preserve">Проверки ответов (checks k6): только с неуспешными</t>
  </si>
  <si>
    <t xml:space="preserve">Проверка</t>
  </si>
  <si>
    <t xml:space="preserve">Успешно</t>
  </si>
  <si>
    <t xml:space="preserve">Неуспешно</t>
  </si>
  <si>
    <t xml:space="preserve">Доля неуспешных</t>
  </si>
  <si>
    <t xml:space="preserve">Время отклика по операциям (тег name в k6), мс</t>
  </si>
  <si>
    <t xml:space="preserve">Операция</t>
  </si>
  <si>
    <t xml:space="preserve">Ошибок</t>
  </si>
  <si>
    <t xml:space="preserve">Avg</t>
  </si>
  <si>
    <t xml:space="preserve">Min</t>
  </si>
  <si>
    <t xml:space="preserve">Med</t>
  </si>
  <si>
    <t xml:space="preserve">p90</t>
  </si>
  <si>
    <t xml:space="preserve">p95</t>
  </si>
  <si>
    <t xml:space="preserve">p99</t>
  </si>
  <si>
    <t xml:space="preserve">Max</t>
  </si>
  <si>
    <t xml:space="preserve">% ошибок</t>
  </si>
  <si>
    <t xml:space="preserve">web_asset</t>
  </si>
  <si>
    <t xml:space="preserve">web_page</t>
  </si>
  <si>
    <t xml:space="preserve">components_list</t>
  </si>
  <si>
    <t xml:space="preserve">types</t>
  </si>
  <si>
    <t xml:space="preserve">auth_login</t>
  </si>
  <si>
    <t xml:space="preserve">me</t>
  </si>
  <si>
    <t xml:space="preserve">my_images</t>
  </si>
  <si>
    <t xml:space="preserve">admin_users</t>
  </si>
  <si>
    <t xml:space="preserve">images_list</t>
  </si>
  <si>
    <t xml:space="preserve">image_poll</t>
  </si>
  <si>
    <t xml:space="preserve">components_get</t>
  </si>
  <si>
    <t xml:space="preserve">build_order</t>
  </si>
  <si>
    <t xml:space="preserve">download</t>
  </si>
  <si>
    <t xml:space="preserve">images_filter</t>
  </si>
  <si>
    <t xml:space="preserve">images_get</t>
  </si>
  <si>
    <t xml:space="preserve">admin_comp_create</t>
  </si>
  <si>
    <t xml:space="preserve">admin_comp_update</t>
  </si>
  <si>
    <t xml:space="preserve">admin_comp_delete</t>
  </si>
  <si>
    <t xml:space="preserve">Поведение системы на ступенях нагрузки (плато ступени, без участков разгона)</t>
  </si>
  <si>
    <t xml:space="preserve">L-04 Стресс: чтение каталогов</t>
  </si>
  <si>
    <t xml:space="preserve">Достигнуто, /с</t>
  </si>
  <si>
    <t xml:space="preserve">CPU java, %</t>
  </si>
  <si>
    <t xml:space="preserve">L-04b Стресс до отказа</t>
  </si>
  <si>
    <t xml:space="preserve">Цель, входов/с</t>
  </si>
  <si>
    <t xml:space="preserve">L-05 Всплеск</t>
  </si>
  <si>
    <t xml:space="preserve">Фаза</t>
  </si>
  <si>
    <t xml:space="preserve">10 VU (до всплеска)</t>
  </si>
  <si>
    <t xml:space="preserve">400 VU (всплеск)</t>
  </si>
  <si>
    <t xml:space="preserve">10 VU (после)</t>
  </si>
  <si>
    <t xml:space="preserve">Временные ряды (шаг 5 с): нагрузка, отклик, ресурсы</t>
  </si>
  <si>
    <t xml:space="preserve">Графики — справа от каждого блока</t>
  </si>
  <si>
    <t xml:space="preserve">t, с</t>
  </si>
  <si>
    <t xml:space="preserve">VU</t>
  </si>
  <si>
    <t xml:space="preserve">RPS</t>
  </si>
  <si>
    <t xml:space="preserve">CPU mysqld, %</t>
  </si>
  <si>
    <t xml:space="preserve">CPU машины, %</t>
  </si>
  <si>
    <t xml:space="preserve">Heap, МБ</t>
  </si>
  <si>
    <t xml:space="preserve">Соед. БД</t>
  </si>
  <si>
    <t xml:space="preserve">Объёмный тест: запросы каталога на стартовой БД и на БД ×100</t>
  </si>
  <si>
    <t xml:space="preserve">Одиночные запросы без конкурентной нагрузки, 30 повторов (tests/load/heavy_queries.py); SQL — число запросов к MySQL на один HTTP-запрос.</t>
  </si>
  <si>
    <t xml:space="preserve">Записей (база)</t>
  </si>
  <si>
    <t xml:space="preserve">Записей (×100)</t>
  </si>
  <si>
    <t xml:space="preserve">SQL (база)</t>
  </si>
  <si>
    <t xml:space="preserve">SQL (×100)</t>
  </si>
  <si>
    <t xml:space="preserve">Med база, мс</t>
  </si>
  <si>
    <t xml:space="preserve">Med ×100, мс</t>
  </si>
  <si>
    <t xml:space="preserve">p95 база, мс</t>
  </si>
  <si>
    <t xml:space="preserve">p95 ×100, мс</t>
  </si>
  <si>
    <t xml:space="preserve">Рост p95, раз</t>
  </si>
  <si>
    <t xml:space="preserve">Под нагрузкой 40 запросов/с, 3 мин (профили L-10a и L-10b)</t>
  </si>
  <si>
    <t xml:space="preserve">Стартовая БД</t>
  </si>
  <si>
    <t xml:space="preserve">БД ×100</t>
  </si>
  <si>
    <t xml:space="preserve">Средняя задержка, мс</t>
  </si>
  <si>
    <t xml:space="preserve">Медиана, мс</t>
  </si>
  <si>
    <t xml:space="preserve">CPU java, средн. %</t>
  </si>
  <si>
    <t xml:space="preserve">CPU mysqld, средн. %</t>
  </si>
  <si>
    <t xml:space="preserve">SQL-запросов/с</t>
  </si>
  <si>
    <t xml:space="preserve">• Наполнение (tests/load/volume_seed.sql, 8 с): 20 388 образов (90 % READY), 2 071 компонент, 61 017 связей образ–компонент, 5 190 пользователей.</t>
  </si>
  <si>
    <t xml:space="preserve">• Число SQL на страницу растёт с числом компонентов в образах (N+1): первая страница — 28 → 56 запросов, страница из 100 образов — 389 запросов (90 мс).</t>
  </si>
  <si>
    <t xml:space="preserve">• Глубокая пагинация (OFFSET 18 000) замедлилась в 7,5 раза; сортировка по цене со статусом — filesort по 18 тыс. строк (34 мс); индексов по name/state/cost нет (DEF-23).</t>
  </si>
  <si>
    <t xml:space="preserve">• Под нагрузкой 40 итераций/с p95 вырос в 3 раза (9 → 28 мс), CPU mysqld — тоже в 3 раза. Запас по SLA сохраняется, но задержка растёт линейно с объёмом данных.</t>
  </si>
  <si>
    <t xml:space="preserve">Очередь сборок под нагрузкой</t>
  </si>
  <si>
    <t xml:space="preserve">Сборка в режиме симуляции с задержкой LUCKFOX_SIM_DELAY=3 с (+ mkfs.ext4); время до READY измеряется от ответа на заказ до статуса READY.</t>
  </si>
  <si>
    <t xml:space="preserve">Готово</t>
  </si>
  <si>
    <t xml:space="preserve">Сбоев</t>
  </si>
  <si>
    <t xml:space="preserve">Avg, с</t>
  </si>
  <si>
    <t xml:space="preserve">Min, с</t>
  </si>
  <si>
    <t xml:space="preserve">Med, с</t>
  </si>
  <si>
    <t xml:space="preserve">p90, с</t>
  </si>
  <si>
    <t xml:space="preserve">p95, с</t>
  </si>
  <si>
    <t xml:space="preserve">Max, с</t>
  </si>
  <si>
    <t xml:space="preserve">Пропускн., сборок/мин</t>
  </si>
  <si>
    <t xml:space="preserve">• Очередь выполняет строго одну сборку за раз (INT-36, L-07): 60 одновременных заказов обработаны за ≈190 с, последний ждал 189 с, потерь и сбоев нет.</t>
  </si>
  <si>
    <t xml:space="preserve">• В смешанном профиле (8 заказчиков) среднее время до READY — 12,5 с при чистой сборке ≈3,2 с: ожидание в очереди в 3–4 раза дольше самой сборки.</t>
  </si>
  <si>
    <t xml:space="preserve">• Экстраполяция на реальную сборку SDK (1–3 ч): 8–24 образа в сутки; очередь из 60 заказов — 2,5–7,5 суток ожидания (DEF-24).</t>
  </si>
  <si>
    <t xml:space="preserve">• Все нагрузочные тесты в БД провисел образ #33 в статусе BUILDING, оставшийся после аварийного перезапуска в INT-45: очередь его так и не подхватила (DEF-19).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</si>
</sst>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#,##0"/>
    <numFmt numFmtId="167" formatCode="#,##0.0"/>
    <numFmt numFmtId="168" formatCode="0.00%"/>
    <numFmt numFmtId="169" formatCode="0.00"/>
    <numFmt numFmtId="170" formatCode="0.0"/>
    <numFmt numFmtId="171" formatCode="0.0\x"/>
    <numFmt numFmtId="172" formatCode="\+0%;\-0%;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3864"/>
      </patternFill>
    </fill>
    <fill>
      <patternFill patternType="solid">
        <fgColor rgb="FFC00000"/>
        <bgColor rgb="FF800000"/>
      </patternFill>
    </fill>
    <fill>
      <patternFill patternType="solid">
        <fgColor rgb="FFFF6B6B"/>
        <bgColor rgb="FFFF6600"/>
      </patternFill>
    </fill>
    <fill>
      <patternFill patternType="solid">
        <fgColor rgb="FFF4B183"/>
        <bgColor rgb="FFFFC7CE"/>
      </patternFill>
    </fill>
    <fill>
      <patternFill patternType="solid">
        <fgColor rgb="FFFFE699"/>
        <bgColor rgb="FFFFC7CE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EDEDED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6B6B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EDEDED"/>
      <rgbColor rgb="FFCCFFFF"/>
      <rgbColor rgb="FF660066"/>
      <rgbColor rgb="FFFF6B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4B183"/>
      <rgbColor rgb="FFCC99FF"/>
      <rgbColor rgb="FFFFC7CE"/>
      <rgbColor rgb="FF4A7EBB"/>
      <rgbColor rgb="FF33CCCC"/>
      <rgbColor rgb="FF98B855"/>
      <rgbColor rgb="FFFFCC00"/>
      <rgbColor rgb="FFFF9900"/>
      <rgbColor rgb="FFFF6600"/>
      <rgbColor rgb="FF595959"/>
      <rgbColor rgb="FFA6A6A6"/>
      <rgbColor rgb="FF1F3864"/>
      <rgbColor rgb="FF4F81BD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SQL-запросов на HTTP-запрос, стартовая БД (388 образов)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Оптимизация!C16</c:f>
              <c:strCache>
                <c:ptCount val="1"/>
                <c:pt idx="0">
                  <c:v>SQL до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Оптимизация!$A$17:$A$25</c:f>
              <c:strCache>
                <c:ptCount val="9"/>
                <c:pt idx="0">
                  <c:v>Образы: первая страница (12)</c:v>
                </c:pt>
                <c:pt idx="1">
                  <c:v>Образы: страница 100 макс. размера</c:v>
                </c:pt>
                <c:pt idx="2">
                  <c:v>Образы: глубокая страница (page=1500)</c:v>
                </c:pt>
                <c:pt idx="3">
                  <c:v>Образы: поиск по подстроке</c:v>
                </c:pt>
                <c:pt idx="4">
                  <c:v>Образы: фильтр по 2 компонентам</c:v>
                </c:pt>
                <c:pt idx="5">
                  <c:v>Образы: сортировка по цене ↓ + статус</c:v>
                </c:pt>
                <c:pt idx="6">
                  <c:v>Компоненты: первая страница</c:v>
                </c:pt>
                <c:pt idx="7">
                  <c:v>Компоненты: поиск + тип + цена ↑</c:v>
                </c:pt>
                <c:pt idx="8">
                  <c:v>Пользователи (ADMIN): поиск</c:v>
                </c:pt>
              </c:strCache>
            </c:strRef>
          </c:cat>
          <c:val>
            <c:numRef>
              <c:f>Оптимизация!$C$17:$C$25</c:f>
              <c:numCache>
                <c:formatCode>General</c:formatCode>
                <c:ptCount val="9"/>
                <c:pt idx="0">
                  <c:v>28</c:v>
                </c:pt>
                <c:pt idx="1">
                  <c:v>116</c:v>
                </c:pt>
                <c:pt idx="2">
                  <c:v>9</c:v>
                </c:pt>
                <c:pt idx="3">
                  <c:v>8</c:v>
                </c:pt>
                <c:pt idx="4">
                  <c:v>28</c:v>
                </c:pt>
                <c:pt idx="5">
                  <c:v>27</c:v>
                </c:pt>
                <c:pt idx="6">
                  <c:v>23</c:v>
                </c:pt>
                <c:pt idx="7">
                  <c:v>8</c:v>
                </c:pt>
                <c:pt idx="8">
                  <c:v>10</c:v>
                </c:pt>
              </c:numCache>
            </c:numRef>
          </c:val>
        </c:ser>
        <c:ser>
          <c:idx val="1"/>
          <c:order val="1"/>
          <c:tx>
            <c:strRef>
              <c:f>Оптимизация!D16</c:f>
              <c:strCache>
                <c:ptCount val="1"/>
                <c:pt idx="0">
                  <c:v>SQL после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Оптимизация!$A$17:$A$25</c:f>
              <c:strCache>
                <c:ptCount val="9"/>
                <c:pt idx="0">
                  <c:v>Образы: первая страница (12)</c:v>
                </c:pt>
                <c:pt idx="1">
                  <c:v>Образы: страница 100 макс. размера</c:v>
                </c:pt>
                <c:pt idx="2">
                  <c:v>Образы: глубокая страница (page=1500)</c:v>
                </c:pt>
                <c:pt idx="3">
                  <c:v>Образы: поиск по подстроке</c:v>
                </c:pt>
                <c:pt idx="4">
                  <c:v>Образы: фильтр по 2 компонентам</c:v>
                </c:pt>
                <c:pt idx="5">
                  <c:v>Образы: сортировка по цене ↓ + статус</c:v>
                </c:pt>
                <c:pt idx="6">
                  <c:v>Компоненты: первая страница</c:v>
                </c:pt>
                <c:pt idx="7">
                  <c:v>Компоненты: поиск + тип + цена ↑</c:v>
                </c:pt>
                <c:pt idx="8">
                  <c:v>Пользователи (ADMIN): поиск</c:v>
                </c:pt>
              </c:strCache>
            </c:strRef>
          </c:cat>
          <c:val>
            <c:numRef>
              <c:f>Оптимизация!$D$17:$D$25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7</c:v>
                </c:pt>
                <c:pt idx="3">
                  <c:v>6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6</c:v>
                </c:pt>
                <c:pt idx="8">
                  <c:v>8</c:v>
                </c:pt>
              </c:numCache>
            </c:numRef>
          </c:val>
        </c:ser>
        <c:gapWidth val="150"/>
        <c:overlap val="0"/>
        <c:axId val="75457986"/>
        <c:axId val="5544569"/>
      </c:barChart>
      <c:catAx>
        <c:axId val="754579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44569"/>
        <c:crosses val="autoZero"/>
        <c:auto val="1"/>
        <c:lblAlgn val="ctr"/>
        <c:lblOffset val="100"/>
        <c:noMultiLvlLbl val="0"/>
      </c:catAx>
      <c:valAx>
        <c:axId val="55445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45798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SQL-запросов на HTTP-запрос, БД ×100 (20 тыс. образов)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Оптимизация!C34</c:f>
              <c:strCache>
                <c:ptCount val="1"/>
                <c:pt idx="0">
                  <c:v>SQL до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Оптимизация!$A$35:$A$43</c:f>
              <c:strCache>
                <c:ptCount val="9"/>
                <c:pt idx="0">
                  <c:v>Образы: первая страница (12)</c:v>
                </c:pt>
                <c:pt idx="1">
                  <c:v>Образы: страница 100 макс. размера</c:v>
                </c:pt>
                <c:pt idx="2">
                  <c:v>Образы: глубокая страница (page=1500)</c:v>
                </c:pt>
                <c:pt idx="3">
                  <c:v>Образы: поиск по подстроке</c:v>
                </c:pt>
                <c:pt idx="4">
                  <c:v>Образы: фильтр по 2 компонентам</c:v>
                </c:pt>
                <c:pt idx="5">
                  <c:v>Образы: сортировка по цене ↓ + статус</c:v>
                </c:pt>
                <c:pt idx="6">
                  <c:v>Компоненты: первая страница</c:v>
                </c:pt>
                <c:pt idx="7">
                  <c:v>Компоненты: поиск + тип + цена ↑</c:v>
                </c:pt>
                <c:pt idx="8">
                  <c:v>Пользователи (ADMIN): поиск</c:v>
                </c:pt>
              </c:strCache>
            </c:strRef>
          </c:cat>
          <c:val>
            <c:numRef>
              <c:f>Оптимизация!$C$35:$C$43</c:f>
              <c:numCache>
                <c:formatCode>General</c:formatCode>
                <c:ptCount val="9"/>
                <c:pt idx="0">
                  <c:v>56</c:v>
                </c:pt>
                <c:pt idx="1">
                  <c:v>389</c:v>
                </c:pt>
                <c:pt idx="2">
                  <c:v>57</c:v>
                </c:pt>
                <c:pt idx="3">
                  <c:v>56</c:v>
                </c:pt>
                <c:pt idx="4">
                  <c:v>28</c:v>
                </c:pt>
                <c:pt idx="5">
                  <c:v>57</c:v>
                </c:pt>
                <c:pt idx="6">
                  <c:v>23</c:v>
                </c:pt>
                <c:pt idx="7">
                  <c:v>22</c:v>
                </c:pt>
                <c:pt idx="8">
                  <c:v>31</c:v>
                </c:pt>
              </c:numCache>
            </c:numRef>
          </c:val>
        </c:ser>
        <c:ser>
          <c:idx val="1"/>
          <c:order val="1"/>
          <c:tx>
            <c:strRef>
              <c:f>Оптимизация!D34</c:f>
              <c:strCache>
                <c:ptCount val="1"/>
                <c:pt idx="0">
                  <c:v>SQL после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Оптимизация!$A$35:$A$43</c:f>
              <c:strCache>
                <c:ptCount val="9"/>
                <c:pt idx="0">
                  <c:v>Образы: первая страница (12)</c:v>
                </c:pt>
                <c:pt idx="1">
                  <c:v>Образы: страница 100 макс. размера</c:v>
                </c:pt>
                <c:pt idx="2">
                  <c:v>Образы: глубокая страница (page=1500)</c:v>
                </c:pt>
                <c:pt idx="3">
                  <c:v>Образы: поиск по подстроке</c:v>
                </c:pt>
                <c:pt idx="4">
                  <c:v>Образы: фильтр по 2 компонентам</c:v>
                </c:pt>
                <c:pt idx="5">
                  <c:v>Образы: сортировка по цене ↓ + статус</c:v>
                </c:pt>
                <c:pt idx="6">
                  <c:v>Компоненты: первая страница</c:v>
                </c:pt>
                <c:pt idx="7">
                  <c:v>Компоненты: поиск + тип + цена ↑</c:v>
                </c:pt>
                <c:pt idx="8">
                  <c:v>Пользователи (ADMIN): поиск</c:v>
                </c:pt>
              </c:strCache>
            </c:strRef>
          </c:cat>
          <c:val>
            <c:numRef>
              <c:f>Оптимизация!$D$35:$D$43</c:f>
              <c:numCache>
                <c:formatCode>General</c:formatCode>
                <c:ptCount val="9"/>
                <c:pt idx="0">
                  <c:v>9</c:v>
                </c:pt>
                <c:pt idx="1">
                  <c:v>11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10</c:v>
                </c:pt>
              </c:numCache>
            </c:numRef>
          </c:val>
        </c:ser>
        <c:gapWidth val="150"/>
        <c:overlap val="0"/>
        <c:axId val="13423329"/>
        <c:axId val="14474616"/>
      </c:barChart>
      <c:catAx>
        <c:axId val="134233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474616"/>
        <c:crosses val="autoZero"/>
        <c:auto val="1"/>
        <c:lblAlgn val="ctr"/>
        <c:lblOffset val="100"/>
        <c:noMultiLvlLbl val="0"/>
      </c:catAx>
      <c:valAx>
        <c:axId val="144746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42332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L-04b Стресс до отказа: достигнутая пропускная способность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Оптимизация!B76</c:f>
              <c:strCache>
                <c:ptCount val="1"/>
                <c:pt idx="0">
                  <c:v>Достигнуто до, /с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Оптимизация!$A$77:$A$81</c:f>
              <c:strCache>
                <c:ptCount val="5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</c:strCache>
            </c:strRef>
          </c:cat>
          <c:val>
            <c:numRef>
              <c:f>Оптимизация!$B$77:$B$81</c:f>
              <c:numCache>
                <c:formatCode>#,##0.0</c:formatCode>
                <c:ptCount val="5"/>
                <c:pt idx="0">
                  <c:v>1283.6</c:v>
                </c:pt>
                <c:pt idx="1">
                  <c:v>1168.5</c:v>
                </c:pt>
                <c:pt idx="2">
                  <c:v>1213.4</c:v>
                </c:pt>
                <c:pt idx="3">
                  <c:v>1403.8</c:v>
                </c:pt>
                <c:pt idx="4">
                  <c:v>1468.1</c:v>
                </c:pt>
              </c:numCache>
            </c:numRef>
          </c:val>
        </c:ser>
        <c:ser>
          <c:idx val="1"/>
          <c:order val="1"/>
          <c:tx>
            <c:strRef>
              <c:f>Оптимизация!C76</c:f>
              <c:strCache>
                <c:ptCount val="1"/>
                <c:pt idx="0">
                  <c:v>Достигнуто после, /с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Оптимизация!$A$77:$A$81</c:f>
              <c:strCache>
                <c:ptCount val="5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</c:strCache>
            </c:strRef>
          </c:cat>
          <c:val>
            <c:numRef>
              <c:f>Оптимизация!$C$77:$C$81</c:f>
              <c:numCache>
                <c:formatCode>#,##0.0</c:formatCode>
                <c:ptCount val="5"/>
                <c:pt idx="0">
                  <c:v>1308.3</c:v>
                </c:pt>
                <c:pt idx="1">
                  <c:v>1973</c:v>
                </c:pt>
                <c:pt idx="2">
                  <c:v>2695.8</c:v>
                </c:pt>
                <c:pt idx="3">
                  <c:v>3737.6</c:v>
                </c:pt>
                <c:pt idx="4">
                  <c:v>3829.6</c:v>
                </c:pt>
              </c:numCache>
            </c:numRef>
          </c:val>
        </c:ser>
        <c:gapWidth val="150"/>
        <c:overlap val="0"/>
        <c:axId val="33128431"/>
        <c:axId val="45529692"/>
      </c:barChart>
      <c:catAx>
        <c:axId val="3312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529692"/>
        <c:crosses val="autoZero"/>
        <c:auto val="1"/>
        <c:lblAlgn val="ctr"/>
        <c:lblOffset val="100"/>
        <c:noMultiLvlLbl val="0"/>
      </c:catAx>
      <c:valAx>
        <c:axId val="455296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запросов/с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12843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L-04b Стресс до отказа: медиана отклика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Оптимизация!D76</c:f>
              <c:strCache>
                <c:ptCount val="1"/>
                <c:pt idx="0">
                  <c:v>Med до, мс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Оптимизация!$A$77:$A$81</c:f>
              <c:strCache>
                <c:ptCount val="5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</c:strCache>
            </c:strRef>
          </c:cat>
          <c:val>
            <c:numRef>
              <c:f>Оптимизация!$D$77:$D$81</c:f>
              <c:numCache>
                <c:formatCode>#,##0.0</c:formatCode>
                <c:ptCount val="5"/>
                <c:pt idx="0">
                  <c:v>3.8</c:v>
                </c:pt>
                <c:pt idx="1">
                  <c:v>2732.2</c:v>
                </c:pt>
                <c:pt idx="2">
                  <c:v>2692</c:v>
                </c:pt>
                <c:pt idx="3">
                  <c:v>2275.8</c:v>
                </c:pt>
                <c:pt idx="4">
                  <c:v>2138.2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Оптимизация!E76</c:f>
              <c:strCache>
                <c:ptCount val="1"/>
                <c:pt idx="0">
                  <c:v>Med после, мс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Оптимизация!$A$77:$A$81</c:f>
              <c:strCache>
                <c:ptCount val="5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</c:strCache>
            </c:strRef>
          </c:cat>
          <c:val>
            <c:numRef>
              <c:f>Оптимизация!$E$77:$E$81</c:f>
              <c:numCache>
                <c:formatCode>#,##0.0</c:formatCode>
                <c:ptCount val="5"/>
                <c:pt idx="0">
                  <c:v>3.1</c:v>
                </c:pt>
                <c:pt idx="1">
                  <c:v>3.2</c:v>
                </c:pt>
                <c:pt idx="2">
                  <c:v>3.4</c:v>
                </c:pt>
                <c:pt idx="3">
                  <c:v>36.2</c:v>
                </c:pt>
                <c:pt idx="4">
                  <c:v>826.7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0729180"/>
        <c:axId val="48356521"/>
      </c:lineChart>
      <c:catAx>
        <c:axId val="707291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цель, итераций/с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356521"/>
        <c:crosses val="autoZero"/>
        <c:auto val="1"/>
        <c:lblAlgn val="ctr"/>
        <c:lblOffset val="100"/>
        <c:noMultiLvlLbl val="0"/>
      </c:catAx>
      <c:valAx>
        <c:axId val="483565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7291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L-04 Стресс: достигнутая пропускная способность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Оптимизация!B94</c:f>
              <c:strCache>
                <c:ptCount val="1"/>
                <c:pt idx="0">
                  <c:v>Достигнуто до, /с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Оптимизация!$A$95:$A$100</c:f>
              <c:strCach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450</c:v>
                </c:pt>
                <c:pt idx="5">
                  <c:v>600</c:v>
                </c:pt>
              </c:strCache>
            </c:strRef>
          </c:cat>
          <c:val>
            <c:numRef>
              <c:f>Оптимизация!$B$95:$B$100</c:f>
              <c:numCache>
                <c:formatCode>#,##0.0</c:formatCode>
                <c:ptCount val="6"/>
                <c:pt idx="0">
                  <c:v>64.6</c:v>
                </c:pt>
                <c:pt idx="1">
                  <c:v>131.2</c:v>
                </c:pt>
                <c:pt idx="2">
                  <c:v>258</c:v>
                </c:pt>
                <c:pt idx="3">
                  <c:v>402.9</c:v>
                </c:pt>
                <c:pt idx="4">
                  <c:v>606.2</c:v>
                </c:pt>
                <c:pt idx="5">
                  <c:v>755.2</c:v>
                </c:pt>
              </c:numCache>
            </c:numRef>
          </c:val>
        </c:ser>
        <c:ser>
          <c:idx val="1"/>
          <c:order val="1"/>
          <c:tx>
            <c:strRef>
              <c:f>Оптимизация!C94</c:f>
              <c:strCache>
                <c:ptCount val="1"/>
                <c:pt idx="0">
                  <c:v>Достигнуто после, /с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Оптимизация!$A$95:$A$100</c:f>
              <c:strCach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450</c:v>
                </c:pt>
                <c:pt idx="5">
                  <c:v>600</c:v>
                </c:pt>
              </c:strCache>
            </c:strRef>
          </c:cat>
          <c:val>
            <c:numRef>
              <c:f>Оптимизация!$C$95:$C$100</c:f>
              <c:numCache>
                <c:formatCode>#,##0.0</c:formatCode>
                <c:ptCount val="6"/>
                <c:pt idx="0">
                  <c:v>66.8</c:v>
                </c:pt>
                <c:pt idx="1">
                  <c:v>133.4</c:v>
                </c:pt>
                <c:pt idx="2">
                  <c:v>269.9</c:v>
                </c:pt>
                <c:pt idx="3">
                  <c:v>417.9</c:v>
                </c:pt>
                <c:pt idx="4">
                  <c:v>627.7</c:v>
                </c:pt>
                <c:pt idx="5">
                  <c:v>777.9</c:v>
                </c:pt>
              </c:numCache>
            </c:numRef>
          </c:val>
        </c:ser>
        <c:gapWidth val="150"/>
        <c:overlap val="0"/>
        <c:axId val="14229605"/>
        <c:axId val="56445991"/>
      </c:barChart>
      <c:catAx>
        <c:axId val="142296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445991"/>
        <c:crosses val="autoZero"/>
        <c:auto val="1"/>
        <c:lblAlgn val="ctr"/>
        <c:lblOffset val="100"/>
        <c:noMultiLvlLbl val="0"/>
      </c:catAx>
      <c:valAx>
        <c:axId val="564459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запросов/с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2296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L-04 Стресс: медиана отклика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Оптимизация!D94</c:f>
              <c:strCache>
                <c:ptCount val="1"/>
                <c:pt idx="0">
                  <c:v>Med до, мс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Оптимизация!$A$95:$A$100</c:f>
              <c:strCach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450</c:v>
                </c:pt>
                <c:pt idx="5">
                  <c:v>600</c:v>
                </c:pt>
              </c:strCache>
            </c:strRef>
          </c:cat>
          <c:val>
            <c:numRef>
              <c:f>Оптимизация!$D$95:$D$100</c:f>
              <c:numCache>
                <c:formatCode>#,##0.0</c:formatCode>
                <c:ptCount val="6"/>
                <c:pt idx="0">
                  <c:v>5.5</c:v>
                </c:pt>
                <c:pt idx="1">
                  <c:v>5.3</c:v>
                </c:pt>
                <c:pt idx="2">
                  <c:v>4.9</c:v>
                </c:pt>
                <c:pt idx="3">
                  <c:v>5</c:v>
                </c:pt>
                <c:pt idx="4">
                  <c:v>4.6</c:v>
                </c:pt>
                <c:pt idx="5">
                  <c:v>3.9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Оптимизация!E94</c:f>
              <c:strCache>
                <c:ptCount val="1"/>
                <c:pt idx="0">
                  <c:v>Med после, мс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Оптимизация!$A$95:$A$100</c:f>
              <c:strCach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450</c:v>
                </c:pt>
                <c:pt idx="5">
                  <c:v>600</c:v>
                </c:pt>
              </c:strCache>
            </c:strRef>
          </c:cat>
          <c:val>
            <c:numRef>
              <c:f>Оптимизация!$E$95:$E$100</c:f>
              <c:numCache>
                <c:formatCode>#,##0.0</c:formatCode>
                <c:ptCount val="6"/>
                <c:pt idx="0">
                  <c:v>4.9</c:v>
                </c:pt>
                <c:pt idx="1">
                  <c:v>4.7</c:v>
                </c:pt>
                <c:pt idx="2">
                  <c:v>4.3</c:v>
                </c:pt>
                <c:pt idx="3">
                  <c:v>4</c:v>
                </c:pt>
                <c:pt idx="4">
                  <c:v>3.9</c:v>
                </c:pt>
                <c:pt idx="5">
                  <c:v>3.6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986683"/>
        <c:axId val="52312744"/>
      </c:lineChart>
      <c:catAx>
        <c:axId val="349866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цель, итераций/с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312744"/>
        <c:crosses val="autoZero"/>
        <c:auto val="1"/>
        <c:lblAlgn val="ctr"/>
        <c:lblOffset val="100"/>
        <c:noMultiLvlLbl val="0"/>
      </c:catAx>
      <c:valAx>
        <c:axId val="523127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98668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L-04 Стресс: чтение каталогов: задержка на ступенях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'Ступени нагрузки'!C4</c:f>
              <c:strCache>
                <c:ptCount val="1"/>
                <c:pt idx="0">
                  <c:v>Med, мс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'Ступени нагрузки'!$A$5:$A$10</c:f>
              <c:strCach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450</c:v>
                </c:pt>
                <c:pt idx="5">
                  <c:v>600</c:v>
                </c:pt>
              </c:strCache>
            </c:strRef>
          </c:cat>
          <c:val>
            <c:numRef>
              <c:f>'Ступени нагрузки'!$C$5:$C$10</c:f>
              <c:numCache>
                <c:formatCode>#,##0.0</c:formatCode>
                <c:ptCount val="6"/>
                <c:pt idx="0">
                  <c:v>5.5</c:v>
                </c:pt>
                <c:pt idx="1">
                  <c:v>5.3</c:v>
                </c:pt>
                <c:pt idx="2">
                  <c:v>4.9</c:v>
                </c:pt>
                <c:pt idx="3">
                  <c:v>5</c:v>
                </c:pt>
                <c:pt idx="4">
                  <c:v>4.6</c:v>
                </c:pt>
                <c:pt idx="5">
                  <c:v>3.9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'Ступени нагрузки'!D4</c:f>
              <c:strCache>
                <c:ptCount val="1"/>
                <c:pt idx="0">
                  <c:v>p95, мс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'Ступени нагрузки'!$A$5:$A$10</c:f>
              <c:strCach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450</c:v>
                </c:pt>
                <c:pt idx="5">
                  <c:v>600</c:v>
                </c:pt>
              </c:strCache>
            </c:strRef>
          </c:cat>
          <c:val>
            <c:numRef>
              <c:f>'Ступени нагрузки'!$D$5:$D$10</c:f>
              <c:numCache>
                <c:formatCode>#,##0.0</c:formatCode>
                <c:ptCount val="6"/>
                <c:pt idx="0">
                  <c:v>16.2</c:v>
                </c:pt>
                <c:pt idx="1">
                  <c:v>15.8</c:v>
                </c:pt>
                <c:pt idx="2">
                  <c:v>15.4</c:v>
                </c:pt>
                <c:pt idx="3">
                  <c:v>15.5</c:v>
                </c:pt>
                <c:pt idx="4">
                  <c:v>14.9</c:v>
                </c:pt>
                <c:pt idx="5">
                  <c:v>12.4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'Ступени нагрузки'!E4</c:f>
              <c:strCache>
                <c:ptCount val="1"/>
                <c:pt idx="0">
                  <c:v>p99, мс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'Ступени нагрузки'!$A$5:$A$10</c:f>
              <c:strCach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450</c:v>
                </c:pt>
                <c:pt idx="5">
                  <c:v>600</c:v>
                </c:pt>
              </c:strCache>
            </c:strRef>
          </c:cat>
          <c:val>
            <c:numRef>
              <c:f>'Ступени нагрузки'!$E$5:$E$10</c:f>
              <c:numCache>
                <c:formatCode>#,##0.0</c:formatCode>
                <c:ptCount val="6"/>
                <c:pt idx="0">
                  <c:v>17.4</c:v>
                </c:pt>
                <c:pt idx="1">
                  <c:v>16.8</c:v>
                </c:pt>
                <c:pt idx="2">
                  <c:v>16.6</c:v>
                </c:pt>
                <c:pt idx="3">
                  <c:v>16.5</c:v>
                </c:pt>
                <c:pt idx="4">
                  <c:v>16.1</c:v>
                </c:pt>
                <c:pt idx="5">
                  <c:v>13.8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373349"/>
        <c:axId val="11209305"/>
      </c:lineChart>
      <c:catAx>
        <c:axId val="243733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Цель, итераций/с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209305"/>
        <c:crosses val="autoZero"/>
        <c:auto val="1"/>
        <c:lblAlgn val="ctr"/>
        <c:lblOffset val="100"/>
        <c:noMultiLvlLbl val="0"/>
      </c:catAx>
      <c:valAx>
        <c:axId val="112093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37334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L-04 Стресс: чтение каталогов: пропускная способность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'Ступени нагрузки'!B4</c:f>
              <c:strCache>
                <c:ptCount val="1"/>
                <c:pt idx="0">
                  <c:v>Достигнуто, /с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'Ступени нагрузки'!$A$5:$A$10</c:f>
              <c:strCach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450</c:v>
                </c:pt>
                <c:pt idx="5">
                  <c:v>600</c:v>
                </c:pt>
              </c:strCache>
            </c:strRef>
          </c:cat>
          <c:val>
            <c:numRef>
              <c:f>'Ступени нагрузки'!$B$5:$B$10</c:f>
              <c:numCache>
                <c:formatCode>#,##0.0</c:formatCode>
                <c:ptCount val="6"/>
                <c:pt idx="0">
                  <c:v>64.6</c:v>
                </c:pt>
                <c:pt idx="1">
                  <c:v>131.2</c:v>
                </c:pt>
                <c:pt idx="2">
                  <c:v>258</c:v>
                </c:pt>
                <c:pt idx="3">
                  <c:v>402.9</c:v>
                </c:pt>
                <c:pt idx="4">
                  <c:v>606.2</c:v>
                </c:pt>
                <c:pt idx="5">
                  <c:v>755.2</c:v>
                </c:pt>
              </c:numCache>
            </c:numRef>
          </c:val>
        </c:ser>
        <c:gapWidth val="150"/>
        <c:overlap val="0"/>
        <c:axId val="33573239"/>
        <c:axId val="66697832"/>
      </c:barChart>
      <c:catAx>
        <c:axId val="33573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697832"/>
        <c:crosses val="autoZero"/>
        <c:auto val="1"/>
        <c:lblAlgn val="ctr"/>
        <c:lblOffset val="100"/>
        <c:noMultiLvlLbl val="0"/>
      </c:catAx>
      <c:valAx>
        <c:axId val="666978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/с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57323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L-04b Стресс до отказа: задержка на ступенях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'Ступени нагрузки'!C22</c:f>
              <c:strCache>
                <c:ptCount val="1"/>
                <c:pt idx="0">
                  <c:v>Med, мс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'Ступени нагрузки'!$A$23:$A$27</c:f>
              <c:strCache>
                <c:ptCount val="5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</c:strCache>
            </c:strRef>
          </c:cat>
          <c:val>
            <c:numRef>
              <c:f>'Ступени нагрузки'!$C$23:$C$27</c:f>
              <c:numCache>
                <c:formatCode>#,##0.0</c:formatCode>
                <c:ptCount val="5"/>
                <c:pt idx="0">
                  <c:v>3.8</c:v>
                </c:pt>
                <c:pt idx="1">
                  <c:v>2732.2</c:v>
                </c:pt>
                <c:pt idx="2">
                  <c:v>2692</c:v>
                </c:pt>
                <c:pt idx="3">
                  <c:v>2275.8</c:v>
                </c:pt>
                <c:pt idx="4">
                  <c:v>2138.2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'Ступени нагрузки'!D22</c:f>
              <c:strCache>
                <c:ptCount val="1"/>
                <c:pt idx="0">
                  <c:v>p95, мс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'Ступени нагрузки'!$A$23:$A$27</c:f>
              <c:strCache>
                <c:ptCount val="5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</c:strCache>
            </c:strRef>
          </c:cat>
          <c:val>
            <c:numRef>
              <c:f>'Ступени нагрузки'!$D$23:$D$27</c:f>
              <c:numCache>
                <c:formatCode>#,##0.0</c:formatCode>
                <c:ptCount val="5"/>
                <c:pt idx="0">
                  <c:v>11.7</c:v>
                </c:pt>
                <c:pt idx="1">
                  <c:v>3101.4</c:v>
                </c:pt>
                <c:pt idx="2">
                  <c:v>3047.3</c:v>
                </c:pt>
                <c:pt idx="3">
                  <c:v>2648.9</c:v>
                </c:pt>
                <c:pt idx="4">
                  <c:v>2496.4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'Ступени нагрузки'!E22</c:f>
              <c:strCache>
                <c:ptCount val="1"/>
                <c:pt idx="0">
                  <c:v>p99, мс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'Ступени нагрузки'!$A$23:$A$27</c:f>
              <c:strCache>
                <c:ptCount val="5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</c:strCache>
            </c:strRef>
          </c:cat>
          <c:val>
            <c:numRef>
              <c:f>'Ступени нагрузки'!$E$23:$E$27</c:f>
              <c:numCache>
                <c:formatCode>#,##0.0</c:formatCode>
                <c:ptCount val="5"/>
                <c:pt idx="0">
                  <c:v>13.7</c:v>
                </c:pt>
                <c:pt idx="1">
                  <c:v>3301.6</c:v>
                </c:pt>
                <c:pt idx="2">
                  <c:v>3241.4</c:v>
                </c:pt>
                <c:pt idx="3">
                  <c:v>2859.2</c:v>
                </c:pt>
                <c:pt idx="4">
                  <c:v>2662.8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268428"/>
        <c:axId val="2453863"/>
      </c:lineChart>
      <c:catAx>
        <c:axId val="712684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Цель, итераций/с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53863"/>
        <c:crosses val="autoZero"/>
        <c:auto val="1"/>
        <c:lblAlgn val="ctr"/>
        <c:lblOffset val="100"/>
        <c:noMultiLvlLbl val="0"/>
      </c:catAx>
      <c:valAx>
        <c:axId val="24538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26842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L-04b Стресс до отказа: пропускная способность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'Ступени нагрузки'!B22</c:f>
              <c:strCache>
                <c:ptCount val="1"/>
                <c:pt idx="0">
                  <c:v>Достигнуто, /с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'Ступени нагрузки'!$A$23:$A$27</c:f>
              <c:strCache>
                <c:ptCount val="5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</c:strCache>
            </c:strRef>
          </c:cat>
          <c:val>
            <c:numRef>
              <c:f>'Ступени нагрузки'!$B$23:$B$27</c:f>
              <c:numCache>
                <c:formatCode>#,##0.0</c:formatCode>
                <c:ptCount val="5"/>
                <c:pt idx="0">
                  <c:v>1283.6</c:v>
                </c:pt>
                <c:pt idx="1">
                  <c:v>1168.5</c:v>
                </c:pt>
                <c:pt idx="2">
                  <c:v>1213.4</c:v>
                </c:pt>
                <c:pt idx="3">
                  <c:v>1403.8</c:v>
                </c:pt>
                <c:pt idx="4">
                  <c:v>1468.1</c:v>
                </c:pt>
              </c:numCache>
            </c:numRef>
          </c:val>
        </c:ser>
        <c:gapWidth val="150"/>
        <c:overlap val="0"/>
        <c:axId val="80962884"/>
        <c:axId val="98568548"/>
      </c:barChart>
      <c:catAx>
        <c:axId val="809628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568548"/>
        <c:crosses val="autoZero"/>
        <c:auto val="1"/>
        <c:lblAlgn val="ctr"/>
        <c:lblOffset val="100"/>
        <c:noMultiLvlLbl val="0"/>
      </c:catAx>
      <c:valAx>
        <c:axId val="985685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/с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96288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L-06 Шторм авторизаций: задержка на ступенях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'Ступени нагрузки'!C40</c:f>
              <c:strCache>
                <c:ptCount val="1"/>
                <c:pt idx="0">
                  <c:v>Med, мс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'Ступени нагрузки'!$A$41:$A$44</c:f>
              <c:strCache>
                <c:ptCount val="4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</c:strCache>
            </c:strRef>
          </c:cat>
          <c:val>
            <c:numRef>
              <c:f>'Ступени нагрузки'!$C$41:$C$44</c:f>
              <c:numCache>
                <c:formatCode>#,##0.0</c:formatCode>
                <c:ptCount val="4"/>
                <c:pt idx="0">
                  <c:v>91.1</c:v>
                </c:pt>
                <c:pt idx="1">
                  <c:v>80</c:v>
                </c:pt>
                <c:pt idx="2">
                  <c:v>81.6</c:v>
                </c:pt>
                <c:pt idx="3">
                  <c:v>912.3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'Ступени нагрузки'!D40</c:f>
              <c:strCache>
                <c:ptCount val="1"/>
                <c:pt idx="0">
                  <c:v>p95, мс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'Ступени нагрузки'!$A$41:$A$44</c:f>
              <c:strCache>
                <c:ptCount val="4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</c:strCache>
            </c:strRef>
          </c:cat>
          <c:val>
            <c:numRef>
              <c:f>'Ступени нагрузки'!$D$41:$D$44</c:f>
              <c:numCache>
                <c:formatCode>#,##0.0</c:formatCode>
                <c:ptCount val="4"/>
                <c:pt idx="0">
                  <c:v>96.8</c:v>
                </c:pt>
                <c:pt idx="1">
                  <c:v>86.4</c:v>
                </c:pt>
                <c:pt idx="2">
                  <c:v>86.6</c:v>
                </c:pt>
                <c:pt idx="3">
                  <c:v>1049.6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'Ступени нагрузки'!E40</c:f>
              <c:strCache>
                <c:ptCount val="1"/>
                <c:pt idx="0">
                  <c:v>p99, мс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'Ступени нагрузки'!$A$41:$A$44</c:f>
              <c:strCache>
                <c:ptCount val="4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</c:strCache>
            </c:strRef>
          </c:cat>
          <c:val>
            <c:numRef>
              <c:f>'Ступени нагрузки'!$E$41:$E$44</c:f>
              <c:numCache>
                <c:formatCode>#,##0.0</c:formatCode>
                <c:ptCount val="4"/>
                <c:pt idx="0">
                  <c:v>99.2</c:v>
                </c:pt>
                <c:pt idx="1">
                  <c:v>88.6</c:v>
                </c:pt>
                <c:pt idx="2">
                  <c:v>90</c:v>
                </c:pt>
                <c:pt idx="3">
                  <c:v>1076.7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999775"/>
        <c:axId val="73677901"/>
      </c:lineChart>
      <c:catAx>
        <c:axId val="909997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Цель, входов/с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677901"/>
        <c:crosses val="autoZero"/>
        <c:auto val="1"/>
        <c:lblAlgn val="ctr"/>
        <c:lblOffset val="100"/>
        <c:noMultiLvlLbl val="0"/>
      </c:catAx>
      <c:valAx>
        <c:axId val="736779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99977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L-06 Шторм авторизаций: пропускная способность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'Ступени нагрузки'!B40</c:f>
              <c:strCache>
                <c:ptCount val="1"/>
                <c:pt idx="0">
                  <c:v>Достигнуто, /с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'Ступени нагрузки'!$A$41:$A$44</c:f>
              <c:strCache>
                <c:ptCount val="4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</c:strCache>
            </c:strRef>
          </c:cat>
          <c:val>
            <c:numRef>
              <c:f>'Ступени нагрузки'!$B$41:$B$44</c:f>
              <c:numCache>
                <c:formatCode>#,##0.0</c:formatCode>
                <c:ptCount val="4"/>
                <c:pt idx="0">
                  <c:v>10.6</c:v>
                </c:pt>
                <c:pt idx="1">
                  <c:v>27</c:v>
                </c:pt>
                <c:pt idx="2">
                  <c:v>55.2</c:v>
                </c:pt>
                <c:pt idx="3">
                  <c:v>100.7</c:v>
                </c:pt>
              </c:numCache>
            </c:numRef>
          </c:val>
        </c:ser>
        <c:gapWidth val="150"/>
        <c:overlap val="0"/>
        <c:axId val="22815367"/>
        <c:axId val="4777969"/>
      </c:barChart>
      <c:catAx>
        <c:axId val="22815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77969"/>
        <c:crosses val="autoZero"/>
        <c:auto val="1"/>
        <c:lblAlgn val="ctr"/>
        <c:lblOffset val="100"/>
        <c:noMultiLvlLbl val="0"/>
      </c:catAx>
      <c:valAx>
        <c:axId val="47779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/с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81536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L-05 Всплеск: задержка на ступенях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'Ступени нагрузки'!C58</c:f>
              <c:strCache>
                <c:ptCount val="1"/>
                <c:pt idx="0">
                  <c:v>Med, мс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'Ступени нагрузки'!$A$59:$A$61</c:f>
              <c:strCache>
                <c:ptCount val="3"/>
                <c:pt idx="0">
                  <c:v>10 VU (до всплеска)</c:v>
                </c:pt>
                <c:pt idx="1">
                  <c:v>400 VU (всплеск)</c:v>
                </c:pt>
                <c:pt idx="2">
                  <c:v>10 VU (после)</c:v>
                </c:pt>
              </c:strCache>
            </c:strRef>
          </c:cat>
          <c:val>
            <c:numRef>
              <c:f>'Ступени нагрузки'!$C$59:$C$61</c:f>
              <c:numCache>
                <c:formatCode>#,##0.0</c:formatCode>
                <c:ptCount val="3"/>
                <c:pt idx="0">
                  <c:v>5.4</c:v>
                </c:pt>
                <c:pt idx="1">
                  <c:v>5</c:v>
                </c:pt>
                <c:pt idx="2">
                  <c:v>6.4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'Ступени нагрузки'!D58</c:f>
              <c:strCache>
                <c:ptCount val="1"/>
                <c:pt idx="0">
                  <c:v>p95, мс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'Ступени нагрузки'!$A$59:$A$61</c:f>
              <c:strCache>
                <c:ptCount val="3"/>
                <c:pt idx="0">
                  <c:v>10 VU (до всплеска)</c:v>
                </c:pt>
                <c:pt idx="1">
                  <c:v>400 VU (всплеск)</c:v>
                </c:pt>
                <c:pt idx="2">
                  <c:v>10 VU (после)</c:v>
                </c:pt>
              </c:strCache>
            </c:strRef>
          </c:cat>
          <c:val>
            <c:numRef>
              <c:f>'Ступени нагрузки'!$D$59:$D$61</c:f>
              <c:numCache>
                <c:formatCode>#,##0.0</c:formatCode>
                <c:ptCount val="3"/>
                <c:pt idx="0">
                  <c:v>16.8</c:v>
                </c:pt>
                <c:pt idx="1">
                  <c:v>15.2</c:v>
                </c:pt>
                <c:pt idx="2">
                  <c:v>17.4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'Ступени нагрузки'!E58</c:f>
              <c:strCache>
                <c:ptCount val="1"/>
                <c:pt idx="0">
                  <c:v>p99, мс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'Ступени нагрузки'!$A$59:$A$61</c:f>
              <c:strCache>
                <c:ptCount val="3"/>
                <c:pt idx="0">
                  <c:v>10 VU (до всплеска)</c:v>
                </c:pt>
                <c:pt idx="1">
                  <c:v>400 VU (всплеск)</c:v>
                </c:pt>
                <c:pt idx="2">
                  <c:v>10 VU (после)</c:v>
                </c:pt>
              </c:strCache>
            </c:strRef>
          </c:cat>
          <c:val>
            <c:numRef>
              <c:f>'Ступени нагрузки'!$E$59:$E$61</c:f>
              <c:numCache>
                <c:formatCode>#,##0.0</c:formatCode>
                <c:ptCount val="3"/>
                <c:pt idx="0">
                  <c:v>18.5</c:v>
                </c:pt>
                <c:pt idx="1">
                  <c:v>17.9</c:v>
                </c:pt>
                <c:pt idx="2">
                  <c:v>18.4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137715"/>
        <c:axId val="89778854"/>
      </c:lineChart>
      <c:catAx>
        <c:axId val="741377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Фаза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778854"/>
        <c:crosses val="autoZero"/>
        <c:auto val="1"/>
        <c:lblAlgn val="ctr"/>
        <c:lblOffset val="100"/>
        <c:noMultiLvlLbl val="0"/>
      </c:catAx>
      <c:valAx>
        <c:axId val="897788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1377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L-05 Всплеск: пропускная способность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'Ступени нагрузки'!B58</c:f>
              <c:strCache>
                <c:ptCount val="1"/>
                <c:pt idx="0">
                  <c:v>Достигнуто, /с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'Ступени нагрузки'!$A$59:$A$61</c:f>
              <c:strCache>
                <c:ptCount val="3"/>
                <c:pt idx="0">
                  <c:v>10 VU (до всплеска)</c:v>
                </c:pt>
                <c:pt idx="1">
                  <c:v>400 VU (всплеск)</c:v>
                </c:pt>
                <c:pt idx="2">
                  <c:v>10 VU (после)</c:v>
                </c:pt>
              </c:strCache>
            </c:strRef>
          </c:cat>
          <c:val>
            <c:numRef>
              <c:f>'Ступени нагрузки'!$B$59:$B$61</c:f>
              <c:numCache>
                <c:formatCode>#,##0.0</c:formatCode>
                <c:ptCount val="3"/>
                <c:pt idx="0">
                  <c:v>36.7</c:v>
                </c:pt>
                <c:pt idx="1">
                  <c:v>731</c:v>
                </c:pt>
                <c:pt idx="2">
                  <c:v>19</c:v>
                </c:pt>
              </c:numCache>
            </c:numRef>
          </c:val>
        </c:ser>
        <c:gapWidth val="150"/>
        <c:overlap val="0"/>
        <c:axId val="22176338"/>
        <c:axId val="26632278"/>
      </c:barChart>
      <c:catAx>
        <c:axId val="221763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632278"/>
        <c:crosses val="autoZero"/>
        <c:auto val="1"/>
        <c:lblAlgn val="ctr"/>
        <c:lblOffset val="100"/>
        <c:noMultiLvlLbl val="0"/>
      </c:catAx>
      <c:valAx>
        <c:axId val="266322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/с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17633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L-01: VU и RPS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ряды'!B4</c:f>
              <c:strCache>
                <c:ptCount val="1"/>
                <c:pt idx="0">
                  <c:v>VU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ряды'!$A$5:$A$16</c:f>
              <c:strCach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strCache>
            </c:strRef>
          </c:cat>
          <c:val>
            <c:numRef>
              <c:f>'Временные ряды'!$B$5:$B$16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ряды'!C4</c:f>
              <c:strCache>
                <c:ptCount val="1"/>
                <c:pt idx="0">
                  <c:v>RPS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ряды'!$A$5:$A$16</c:f>
              <c:strCach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strCache>
            </c:strRef>
          </c:cat>
          <c:val>
            <c:numRef>
              <c:f>'Временные ряды'!$C$5:$C$16</c:f>
              <c:numCache>
                <c:formatCode>General</c:formatCode>
                <c:ptCount val="12"/>
                <c:pt idx="0">
                  <c:v>2.8</c:v>
                </c:pt>
                <c:pt idx="1">
                  <c:v>7.6</c:v>
                </c:pt>
                <c:pt idx="2">
                  <c:v>3.4</c:v>
                </c:pt>
                <c:pt idx="3">
                  <c:v>8.8</c:v>
                </c:pt>
                <c:pt idx="4">
                  <c:v>3.2</c:v>
                </c:pt>
                <c:pt idx="5">
                  <c:v>8.4</c:v>
                </c:pt>
                <c:pt idx="6">
                  <c:v>2.8</c:v>
                </c:pt>
                <c:pt idx="7">
                  <c:v>8.4</c:v>
                </c:pt>
                <c:pt idx="8">
                  <c:v>3</c:v>
                </c:pt>
                <c:pt idx="9">
                  <c:v>9.8</c:v>
                </c:pt>
                <c:pt idx="10">
                  <c:v>1.8</c:v>
                </c:pt>
                <c:pt idx="11">
                  <c:v>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325992"/>
        <c:axId val="73594435"/>
      </c:lineChart>
      <c:catAx>
        <c:axId val="403259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594435"/>
        <c:crosses val="autoZero"/>
        <c:auto val="1"/>
        <c:lblAlgn val="ctr"/>
        <c:lblOffset val="100"/>
        <c:noMultiLvlLbl val="0"/>
      </c:catAx>
      <c:valAx>
        <c:axId val="735944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3259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L-01: время отклика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ряды'!D4</c:f>
              <c:strCache>
                <c:ptCount val="1"/>
                <c:pt idx="0">
                  <c:v>p95, мс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ряды'!$A$5:$A$16</c:f>
              <c:strCach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strCache>
            </c:strRef>
          </c:cat>
          <c:val>
            <c:numRef>
              <c:f>'Временные ряды'!$D$5:$D$16</c:f>
              <c:numCache>
                <c:formatCode>General</c:formatCode>
                <c:ptCount val="12"/>
                <c:pt idx="0">
                  <c:v>70.3</c:v>
                </c:pt>
                <c:pt idx="1">
                  <c:v>112.1</c:v>
                </c:pt>
                <c:pt idx="2">
                  <c:v>110.4</c:v>
                </c:pt>
                <c:pt idx="3">
                  <c:v>112.5</c:v>
                </c:pt>
                <c:pt idx="4">
                  <c:v>134.7</c:v>
                </c:pt>
                <c:pt idx="5">
                  <c:v>111.4</c:v>
                </c:pt>
                <c:pt idx="6">
                  <c:v>64.7</c:v>
                </c:pt>
                <c:pt idx="7">
                  <c:v>111.8</c:v>
                </c:pt>
                <c:pt idx="8">
                  <c:v>65.7</c:v>
                </c:pt>
                <c:pt idx="9">
                  <c:v>108.2</c:v>
                </c:pt>
                <c:pt idx="10">
                  <c:v>109.7</c:v>
                </c:pt>
                <c:pt idx="11">
                  <c:v>107.2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ряды'!E4</c:f>
              <c:strCache>
                <c:ptCount val="1"/>
                <c:pt idx="0">
                  <c:v>Avg, мс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ряды'!$A$5:$A$16</c:f>
              <c:strCach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strCache>
            </c:strRef>
          </c:cat>
          <c:val>
            <c:numRef>
              <c:f>'Временные ряды'!$E$5:$E$16</c:f>
              <c:numCache>
                <c:formatCode>General</c:formatCode>
                <c:ptCount val="12"/>
                <c:pt idx="0">
                  <c:v>27.9</c:v>
                </c:pt>
                <c:pt idx="1">
                  <c:v>30.3</c:v>
                </c:pt>
                <c:pt idx="2">
                  <c:v>28</c:v>
                </c:pt>
                <c:pt idx="3">
                  <c:v>27.3</c:v>
                </c:pt>
                <c:pt idx="4">
                  <c:v>34.3</c:v>
                </c:pt>
                <c:pt idx="5">
                  <c:v>21.6</c:v>
                </c:pt>
                <c:pt idx="6">
                  <c:v>22.6</c:v>
                </c:pt>
                <c:pt idx="7">
                  <c:v>25</c:v>
                </c:pt>
                <c:pt idx="8">
                  <c:v>23.3</c:v>
                </c:pt>
                <c:pt idx="9">
                  <c:v>23.6</c:v>
                </c:pt>
                <c:pt idx="10">
                  <c:v>42.2</c:v>
                </c:pt>
                <c:pt idx="11">
                  <c:v>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438899"/>
        <c:axId val="86367791"/>
      </c:lineChart>
      <c:catAx>
        <c:axId val="134388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367791"/>
        <c:crosses val="autoZero"/>
        <c:auto val="1"/>
        <c:lblAlgn val="ctr"/>
        <c:lblOffset val="100"/>
        <c:noMultiLvlLbl val="0"/>
      </c:catAx>
      <c:valAx>
        <c:axId val="863677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43889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L-01: CPU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ряды'!G4</c:f>
              <c:strCache>
                <c:ptCount val="1"/>
                <c:pt idx="0">
                  <c:v>CPU java, %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ряды'!$A$5:$A$16</c:f>
              <c:strCach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strCache>
            </c:strRef>
          </c:cat>
          <c:val>
            <c:numRef>
              <c:f>'Временные ряды'!$G$5:$G$16</c:f>
              <c:numCache>
                <c:formatCode>General</c:formatCode>
                <c:ptCount val="12"/>
                <c:pt idx="0">
                  <c:v>25.3</c:v>
                </c:pt>
                <c:pt idx="1">
                  <c:v>21.2</c:v>
                </c:pt>
                <c:pt idx="2">
                  <c:v>11.7</c:v>
                </c:pt>
                <c:pt idx="3">
                  <c:v>18</c:v>
                </c:pt>
                <c:pt idx="4">
                  <c:v>25.8</c:v>
                </c:pt>
                <c:pt idx="5">
                  <c:v>33.2</c:v>
                </c:pt>
                <c:pt idx="6">
                  <c:v>9.2</c:v>
                </c:pt>
                <c:pt idx="7">
                  <c:v>29.3</c:v>
                </c:pt>
                <c:pt idx="8">
                  <c:v>15.7</c:v>
                </c:pt>
                <c:pt idx="9">
                  <c:v>22</c:v>
                </c:pt>
                <c:pt idx="10">
                  <c:v>13.5</c:v>
                </c:pt>
                <c:pt idx="11">
                  <c:v>28.4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ряды'!H4</c:f>
              <c:strCache>
                <c:ptCount val="1"/>
                <c:pt idx="0">
                  <c:v>CPU mysqld, %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ряды'!$A$5:$A$16</c:f>
              <c:strCach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strCache>
            </c:strRef>
          </c:cat>
          <c:val>
            <c:numRef>
              <c:f>'Временные ряды'!$H$5:$H$16</c:f>
              <c:numCache>
                <c:formatCode>General</c:formatCode>
                <c:ptCount val="12"/>
                <c:pt idx="0">
                  <c:v>4.2</c:v>
                </c:pt>
                <c:pt idx="1">
                  <c:v>3.3</c:v>
                </c:pt>
                <c:pt idx="2">
                  <c:v>2.8</c:v>
                </c:pt>
                <c:pt idx="3">
                  <c:v>1.6</c:v>
                </c:pt>
                <c:pt idx="4">
                  <c:v>3.5</c:v>
                </c:pt>
                <c:pt idx="5">
                  <c:v>3.5</c:v>
                </c:pt>
                <c:pt idx="6">
                  <c:v>3.4</c:v>
                </c:pt>
                <c:pt idx="7">
                  <c:v>3.9</c:v>
                </c:pt>
                <c:pt idx="8">
                  <c:v>3.1</c:v>
                </c:pt>
                <c:pt idx="9">
                  <c:v>2.2</c:v>
                </c:pt>
                <c:pt idx="10">
                  <c:v>3.3</c:v>
                </c:pt>
                <c:pt idx="11">
                  <c:v>4.9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'Временные ряды'!I4</c:f>
              <c:strCache>
                <c:ptCount val="1"/>
                <c:pt idx="0">
                  <c:v>CPU машины, 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ряды'!$A$5:$A$16</c:f>
              <c:strCach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strCache>
            </c:strRef>
          </c:cat>
          <c:val>
            <c:numRef>
              <c:f>'Временные ряды'!$I$5:$I$16</c:f>
              <c:numCache>
                <c:formatCode>General</c:formatCode>
                <c:ptCount val="12"/>
                <c:pt idx="0">
                  <c:v>3.4</c:v>
                </c:pt>
                <c:pt idx="1">
                  <c:v>2.6</c:v>
                </c:pt>
                <c:pt idx="2">
                  <c:v>1.6</c:v>
                </c:pt>
                <c:pt idx="3">
                  <c:v>3.2</c:v>
                </c:pt>
                <c:pt idx="4">
                  <c:v>2.6</c:v>
                </c:pt>
                <c:pt idx="5">
                  <c:v>2.7</c:v>
                </c:pt>
                <c:pt idx="6">
                  <c:v>1.2</c:v>
                </c:pt>
                <c:pt idx="7">
                  <c:v>2.4</c:v>
                </c:pt>
                <c:pt idx="8">
                  <c:v>1.6</c:v>
                </c:pt>
                <c:pt idx="9">
                  <c:v>2.4</c:v>
                </c:pt>
                <c:pt idx="10">
                  <c:v>1.6</c:v>
                </c:pt>
                <c:pt idx="11">
                  <c:v>2.6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198930"/>
        <c:axId val="86803403"/>
      </c:lineChart>
      <c:catAx>
        <c:axId val="561989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803403"/>
        <c:crosses val="autoZero"/>
        <c:auto val="1"/>
        <c:lblAlgn val="ctr"/>
        <c:lblOffset val="100"/>
        <c:noMultiLvlLbl val="0"/>
      </c:catAx>
      <c:valAx>
        <c:axId val="868034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19893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L-02: VU и RPS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ряды'!B21</c:f>
              <c:strCache>
                <c:ptCount val="1"/>
                <c:pt idx="0">
                  <c:v>VU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ряды'!$A$22:$A$73</c:f>
              <c:strCache>
                <c:ptCount val="5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</c:strCache>
            </c:strRef>
          </c:cat>
          <c:val>
            <c:numRef>
              <c:f>'Временные ряды'!$B$22:$B$73</c:f>
              <c:numCache>
                <c:formatCode>General</c:formatCode>
                <c:ptCount val="52"/>
                <c:pt idx="0">
                  <c:v>3</c:v>
                </c:pt>
                <c:pt idx="1">
                  <c:v>9</c:v>
                </c:pt>
                <c:pt idx="2">
                  <c:v>13</c:v>
                </c:pt>
                <c:pt idx="3">
                  <c:v>18</c:v>
                </c:pt>
                <c:pt idx="4">
                  <c:v>22</c:v>
                </c:pt>
                <c:pt idx="5">
                  <c:v>26</c:v>
                </c:pt>
                <c:pt idx="6">
                  <c:v>30</c:v>
                </c:pt>
                <c:pt idx="7">
                  <c:v>36</c:v>
                </c:pt>
                <c:pt idx="8">
                  <c:v>40</c:v>
                </c:pt>
                <c:pt idx="9">
                  <c:v>44</c:v>
                </c:pt>
                <c:pt idx="10">
                  <c:v>48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46</c:v>
                </c:pt>
                <c:pt idx="47">
                  <c:v>39</c:v>
                </c:pt>
                <c:pt idx="48">
                  <c:v>29</c:v>
                </c:pt>
                <c:pt idx="49">
                  <c:v>21</c:v>
                </c:pt>
                <c:pt idx="50">
                  <c:v>11</c:v>
                </c:pt>
                <c:pt idx="51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ряды'!C21</c:f>
              <c:strCache>
                <c:ptCount val="1"/>
                <c:pt idx="0">
                  <c:v>RPS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ряды'!$A$22:$A$73</c:f>
              <c:strCache>
                <c:ptCount val="5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</c:strCache>
            </c:strRef>
          </c:cat>
          <c:val>
            <c:numRef>
              <c:f>'Временные ряды'!$C$22:$C$73</c:f>
              <c:numCache>
                <c:formatCode>General</c:formatCode>
                <c:ptCount val="52"/>
                <c:pt idx="0">
                  <c:v>4</c:v>
                </c:pt>
                <c:pt idx="1">
                  <c:v>11.2</c:v>
                </c:pt>
                <c:pt idx="2">
                  <c:v>13.2</c:v>
                </c:pt>
                <c:pt idx="3">
                  <c:v>11.8</c:v>
                </c:pt>
                <c:pt idx="4">
                  <c:v>15.6</c:v>
                </c:pt>
                <c:pt idx="5">
                  <c:v>20</c:v>
                </c:pt>
                <c:pt idx="6">
                  <c:v>21.4</c:v>
                </c:pt>
                <c:pt idx="7">
                  <c:v>33</c:v>
                </c:pt>
                <c:pt idx="8">
                  <c:v>31.2</c:v>
                </c:pt>
                <c:pt idx="9">
                  <c:v>31</c:v>
                </c:pt>
                <c:pt idx="10">
                  <c:v>33.8</c:v>
                </c:pt>
                <c:pt idx="11">
                  <c:v>32.8</c:v>
                </c:pt>
                <c:pt idx="12">
                  <c:v>32.2</c:v>
                </c:pt>
                <c:pt idx="13">
                  <c:v>39</c:v>
                </c:pt>
                <c:pt idx="14">
                  <c:v>41</c:v>
                </c:pt>
                <c:pt idx="15">
                  <c:v>35.4</c:v>
                </c:pt>
                <c:pt idx="16">
                  <c:v>36.6</c:v>
                </c:pt>
                <c:pt idx="17">
                  <c:v>32.6</c:v>
                </c:pt>
                <c:pt idx="18">
                  <c:v>34</c:v>
                </c:pt>
                <c:pt idx="19">
                  <c:v>35.4</c:v>
                </c:pt>
                <c:pt idx="20">
                  <c:v>42.6</c:v>
                </c:pt>
                <c:pt idx="21">
                  <c:v>34.2</c:v>
                </c:pt>
                <c:pt idx="22">
                  <c:v>30.4</c:v>
                </c:pt>
                <c:pt idx="23">
                  <c:v>36.4</c:v>
                </c:pt>
                <c:pt idx="24">
                  <c:v>32.4</c:v>
                </c:pt>
                <c:pt idx="25">
                  <c:v>35.6</c:v>
                </c:pt>
                <c:pt idx="26">
                  <c:v>46.4</c:v>
                </c:pt>
                <c:pt idx="27">
                  <c:v>35</c:v>
                </c:pt>
                <c:pt idx="28">
                  <c:v>30.8</c:v>
                </c:pt>
                <c:pt idx="29">
                  <c:v>34.8</c:v>
                </c:pt>
                <c:pt idx="30">
                  <c:v>34.6</c:v>
                </c:pt>
                <c:pt idx="31">
                  <c:v>34.6</c:v>
                </c:pt>
                <c:pt idx="32">
                  <c:v>41.6</c:v>
                </c:pt>
                <c:pt idx="33">
                  <c:v>33.4</c:v>
                </c:pt>
                <c:pt idx="34">
                  <c:v>32.8</c:v>
                </c:pt>
                <c:pt idx="35">
                  <c:v>35.2</c:v>
                </c:pt>
                <c:pt idx="36">
                  <c:v>32.2</c:v>
                </c:pt>
                <c:pt idx="37">
                  <c:v>33.2</c:v>
                </c:pt>
                <c:pt idx="38">
                  <c:v>46</c:v>
                </c:pt>
                <c:pt idx="39">
                  <c:v>31.4</c:v>
                </c:pt>
                <c:pt idx="40">
                  <c:v>32.2</c:v>
                </c:pt>
                <c:pt idx="41">
                  <c:v>33.2</c:v>
                </c:pt>
                <c:pt idx="42">
                  <c:v>33.4</c:v>
                </c:pt>
                <c:pt idx="43">
                  <c:v>34.6</c:v>
                </c:pt>
                <c:pt idx="44">
                  <c:v>44</c:v>
                </c:pt>
                <c:pt idx="45">
                  <c:v>30</c:v>
                </c:pt>
                <c:pt idx="46">
                  <c:v>29</c:v>
                </c:pt>
                <c:pt idx="47">
                  <c:v>22.6</c:v>
                </c:pt>
                <c:pt idx="48">
                  <c:v>17.4</c:v>
                </c:pt>
                <c:pt idx="49">
                  <c:v>12.2</c:v>
                </c:pt>
                <c:pt idx="50">
                  <c:v>6.8</c:v>
                </c:pt>
                <c:pt idx="51">
                  <c:v>0.2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410035"/>
        <c:axId val="45516960"/>
      </c:lineChart>
      <c:catAx>
        <c:axId val="444100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516960"/>
        <c:crosses val="autoZero"/>
        <c:auto val="1"/>
        <c:lblAlgn val="ctr"/>
        <c:lblOffset val="100"/>
        <c:noMultiLvlLbl val="0"/>
      </c:catAx>
      <c:valAx>
        <c:axId val="455169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41003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L-02: время отклика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ряды'!D21</c:f>
              <c:strCache>
                <c:ptCount val="1"/>
                <c:pt idx="0">
                  <c:v>p95, мс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ряды'!$A$22:$A$73</c:f>
              <c:strCache>
                <c:ptCount val="5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</c:strCache>
            </c:strRef>
          </c:cat>
          <c:val>
            <c:numRef>
              <c:f>'Временные ряды'!$D$22:$D$73</c:f>
              <c:numCache>
                <c:formatCode>General</c:formatCode>
                <c:ptCount val="52"/>
                <c:pt idx="0">
                  <c:v>14.8</c:v>
                </c:pt>
                <c:pt idx="1">
                  <c:v>16</c:v>
                </c:pt>
                <c:pt idx="2">
                  <c:v>13.1</c:v>
                </c:pt>
                <c:pt idx="3">
                  <c:v>14.5</c:v>
                </c:pt>
                <c:pt idx="4">
                  <c:v>16.8</c:v>
                </c:pt>
                <c:pt idx="5">
                  <c:v>15.3</c:v>
                </c:pt>
                <c:pt idx="6">
                  <c:v>15.7</c:v>
                </c:pt>
                <c:pt idx="7">
                  <c:v>15.1</c:v>
                </c:pt>
                <c:pt idx="8">
                  <c:v>14.9</c:v>
                </c:pt>
                <c:pt idx="9">
                  <c:v>15.7</c:v>
                </c:pt>
                <c:pt idx="10">
                  <c:v>15.3</c:v>
                </c:pt>
                <c:pt idx="11">
                  <c:v>15</c:v>
                </c:pt>
                <c:pt idx="12">
                  <c:v>15.7</c:v>
                </c:pt>
                <c:pt idx="13">
                  <c:v>15.1</c:v>
                </c:pt>
                <c:pt idx="14">
                  <c:v>14.7</c:v>
                </c:pt>
                <c:pt idx="15">
                  <c:v>15.1</c:v>
                </c:pt>
                <c:pt idx="16">
                  <c:v>15.5</c:v>
                </c:pt>
                <c:pt idx="17">
                  <c:v>14.2</c:v>
                </c:pt>
                <c:pt idx="18">
                  <c:v>14.8</c:v>
                </c:pt>
                <c:pt idx="19">
                  <c:v>15.5</c:v>
                </c:pt>
                <c:pt idx="20">
                  <c:v>15.4</c:v>
                </c:pt>
                <c:pt idx="21">
                  <c:v>14.9</c:v>
                </c:pt>
                <c:pt idx="22">
                  <c:v>14.5</c:v>
                </c:pt>
                <c:pt idx="23">
                  <c:v>15.1</c:v>
                </c:pt>
                <c:pt idx="24">
                  <c:v>15</c:v>
                </c:pt>
                <c:pt idx="25">
                  <c:v>14.3</c:v>
                </c:pt>
                <c:pt idx="26">
                  <c:v>14.9</c:v>
                </c:pt>
                <c:pt idx="27">
                  <c:v>14.8</c:v>
                </c:pt>
                <c:pt idx="28">
                  <c:v>15.2</c:v>
                </c:pt>
                <c:pt idx="29">
                  <c:v>15.6</c:v>
                </c:pt>
                <c:pt idx="30">
                  <c:v>15.7</c:v>
                </c:pt>
                <c:pt idx="31">
                  <c:v>15.5</c:v>
                </c:pt>
                <c:pt idx="32">
                  <c:v>15.2</c:v>
                </c:pt>
                <c:pt idx="33">
                  <c:v>15.2</c:v>
                </c:pt>
                <c:pt idx="34">
                  <c:v>14.6</c:v>
                </c:pt>
                <c:pt idx="35">
                  <c:v>14.4</c:v>
                </c:pt>
                <c:pt idx="36">
                  <c:v>15.2</c:v>
                </c:pt>
                <c:pt idx="37">
                  <c:v>15.1</c:v>
                </c:pt>
                <c:pt idx="38">
                  <c:v>14.3</c:v>
                </c:pt>
                <c:pt idx="39">
                  <c:v>15.4</c:v>
                </c:pt>
                <c:pt idx="40">
                  <c:v>14.3</c:v>
                </c:pt>
                <c:pt idx="41">
                  <c:v>14.9</c:v>
                </c:pt>
                <c:pt idx="42">
                  <c:v>16.7</c:v>
                </c:pt>
                <c:pt idx="43">
                  <c:v>16</c:v>
                </c:pt>
                <c:pt idx="44">
                  <c:v>15.5</c:v>
                </c:pt>
                <c:pt idx="45">
                  <c:v>15.6</c:v>
                </c:pt>
                <c:pt idx="46">
                  <c:v>15.1</c:v>
                </c:pt>
                <c:pt idx="47">
                  <c:v>14.6</c:v>
                </c:pt>
                <c:pt idx="48">
                  <c:v>15.1</c:v>
                </c:pt>
                <c:pt idx="49">
                  <c:v>14.4</c:v>
                </c:pt>
                <c:pt idx="50">
                  <c:v>14.9</c:v>
                </c:pt>
                <c:pt idx="51">
                  <c:v>5.9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ряды'!E21</c:f>
              <c:strCache>
                <c:ptCount val="1"/>
                <c:pt idx="0">
                  <c:v>Avg, мс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ряды'!$A$22:$A$73</c:f>
              <c:strCache>
                <c:ptCount val="5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</c:strCache>
            </c:strRef>
          </c:cat>
          <c:val>
            <c:numRef>
              <c:f>'Временные ряды'!$E$22:$E$73</c:f>
              <c:numCache>
                <c:formatCode>General</c:formatCode>
                <c:ptCount val="52"/>
                <c:pt idx="0">
                  <c:v>6.1</c:v>
                </c:pt>
                <c:pt idx="1">
                  <c:v>7</c:v>
                </c:pt>
                <c:pt idx="2">
                  <c:v>6.3</c:v>
                </c:pt>
                <c:pt idx="3">
                  <c:v>6.9</c:v>
                </c:pt>
                <c:pt idx="4">
                  <c:v>7.7</c:v>
                </c:pt>
                <c:pt idx="5">
                  <c:v>7.3</c:v>
                </c:pt>
                <c:pt idx="6">
                  <c:v>7.1</c:v>
                </c:pt>
                <c:pt idx="7">
                  <c:v>7.2</c:v>
                </c:pt>
                <c:pt idx="8">
                  <c:v>7.1</c:v>
                </c:pt>
                <c:pt idx="9">
                  <c:v>7.2</c:v>
                </c:pt>
                <c:pt idx="10">
                  <c:v>7.2</c:v>
                </c:pt>
                <c:pt idx="11">
                  <c:v>7.5</c:v>
                </c:pt>
                <c:pt idx="12">
                  <c:v>7.5</c:v>
                </c:pt>
                <c:pt idx="13">
                  <c:v>7.3</c:v>
                </c:pt>
                <c:pt idx="14">
                  <c:v>7.2</c:v>
                </c:pt>
                <c:pt idx="15">
                  <c:v>7.1</c:v>
                </c:pt>
                <c:pt idx="16">
                  <c:v>7.2</c:v>
                </c:pt>
                <c:pt idx="17">
                  <c:v>6.9</c:v>
                </c:pt>
                <c:pt idx="18">
                  <c:v>7</c:v>
                </c:pt>
                <c:pt idx="19">
                  <c:v>7.5</c:v>
                </c:pt>
                <c:pt idx="20">
                  <c:v>7.6</c:v>
                </c:pt>
                <c:pt idx="21">
                  <c:v>7.4</c:v>
                </c:pt>
                <c:pt idx="22">
                  <c:v>7.6</c:v>
                </c:pt>
                <c:pt idx="23">
                  <c:v>7.3</c:v>
                </c:pt>
                <c:pt idx="24">
                  <c:v>7.3</c:v>
                </c:pt>
                <c:pt idx="25">
                  <c:v>7.1</c:v>
                </c:pt>
                <c:pt idx="26">
                  <c:v>7.4</c:v>
                </c:pt>
                <c:pt idx="27">
                  <c:v>7.2</c:v>
                </c:pt>
                <c:pt idx="28">
                  <c:v>7.4</c:v>
                </c:pt>
                <c:pt idx="29">
                  <c:v>7.5</c:v>
                </c:pt>
                <c:pt idx="30">
                  <c:v>7.1</c:v>
                </c:pt>
                <c:pt idx="31">
                  <c:v>7.4</c:v>
                </c:pt>
                <c:pt idx="32">
                  <c:v>7.2</c:v>
                </c:pt>
                <c:pt idx="33">
                  <c:v>7.4</c:v>
                </c:pt>
                <c:pt idx="34">
                  <c:v>7</c:v>
                </c:pt>
                <c:pt idx="35">
                  <c:v>6.6</c:v>
                </c:pt>
                <c:pt idx="36">
                  <c:v>7.4</c:v>
                </c:pt>
                <c:pt idx="37">
                  <c:v>7.4</c:v>
                </c:pt>
                <c:pt idx="38">
                  <c:v>7</c:v>
                </c:pt>
                <c:pt idx="39">
                  <c:v>7.8</c:v>
                </c:pt>
                <c:pt idx="40">
                  <c:v>7.1</c:v>
                </c:pt>
                <c:pt idx="41">
                  <c:v>7.2</c:v>
                </c:pt>
                <c:pt idx="42">
                  <c:v>8</c:v>
                </c:pt>
                <c:pt idx="43">
                  <c:v>7.8</c:v>
                </c:pt>
                <c:pt idx="44">
                  <c:v>7.5</c:v>
                </c:pt>
                <c:pt idx="45">
                  <c:v>7.1</c:v>
                </c:pt>
                <c:pt idx="46">
                  <c:v>7.8</c:v>
                </c:pt>
                <c:pt idx="47">
                  <c:v>6.9</c:v>
                </c:pt>
                <c:pt idx="48">
                  <c:v>7.8</c:v>
                </c:pt>
                <c:pt idx="49">
                  <c:v>7.6</c:v>
                </c:pt>
                <c:pt idx="50">
                  <c:v>7.9</c:v>
                </c:pt>
                <c:pt idx="51">
                  <c:v>5.9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7255493"/>
        <c:axId val="11375032"/>
      </c:lineChart>
      <c:catAx>
        <c:axId val="572554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375032"/>
        <c:crosses val="autoZero"/>
        <c:auto val="1"/>
        <c:lblAlgn val="ctr"/>
        <c:lblOffset val="100"/>
        <c:noMultiLvlLbl val="0"/>
      </c:catAx>
      <c:valAx>
        <c:axId val="113750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2554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L-02: CPU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ряды'!G21</c:f>
              <c:strCache>
                <c:ptCount val="1"/>
                <c:pt idx="0">
                  <c:v>CPU java, %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ряды'!$A$22:$A$73</c:f>
              <c:strCache>
                <c:ptCount val="5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</c:strCache>
            </c:strRef>
          </c:cat>
          <c:val>
            <c:numRef>
              <c:f>'Временные ряды'!$G$22:$G$73</c:f>
              <c:numCache>
                <c:formatCode>General</c:formatCode>
                <c:ptCount val="52"/>
                <c:pt idx="0">
                  <c:v>2.1</c:v>
                </c:pt>
                <c:pt idx="1">
                  <c:v>6.2</c:v>
                </c:pt>
                <c:pt idx="2">
                  <c:v>8.6</c:v>
                </c:pt>
                <c:pt idx="3">
                  <c:v>10.6</c:v>
                </c:pt>
                <c:pt idx="4">
                  <c:v>13.9</c:v>
                </c:pt>
                <c:pt idx="5">
                  <c:v>11.6</c:v>
                </c:pt>
                <c:pt idx="6">
                  <c:v>15.3</c:v>
                </c:pt>
                <c:pt idx="7">
                  <c:v>5.3</c:v>
                </c:pt>
                <c:pt idx="8">
                  <c:v>26.7</c:v>
                </c:pt>
                <c:pt idx="9">
                  <c:v>37.1</c:v>
                </c:pt>
                <c:pt idx="10">
                  <c:v>12.6</c:v>
                </c:pt>
                <c:pt idx="11">
                  <c:v>11.7</c:v>
                </c:pt>
                <c:pt idx="12">
                  <c:v>16.7</c:v>
                </c:pt>
                <c:pt idx="13">
                  <c:v>12.9</c:v>
                </c:pt>
                <c:pt idx="14">
                  <c:v>19.8</c:v>
                </c:pt>
                <c:pt idx="15">
                  <c:v>21.7</c:v>
                </c:pt>
                <c:pt idx="16">
                  <c:v>13.3</c:v>
                </c:pt>
                <c:pt idx="17">
                  <c:v>13.8</c:v>
                </c:pt>
                <c:pt idx="18">
                  <c:v>18.2</c:v>
                </c:pt>
                <c:pt idx="19">
                  <c:v>9.5</c:v>
                </c:pt>
                <c:pt idx="20">
                  <c:v>18.5</c:v>
                </c:pt>
                <c:pt idx="21">
                  <c:v>12.8</c:v>
                </c:pt>
                <c:pt idx="22">
                  <c:v>11.2</c:v>
                </c:pt>
                <c:pt idx="23">
                  <c:v>12.7</c:v>
                </c:pt>
                <c:pt idx="24">
                  <c:v>11.2</c:v>
                </c:pt>
                <c:pt idx="25">
                  <c:v>12</c:v>
                </c:pt>
                <c:pt idx="26">
                  <c:v>6.6</c:v>
                </c:pt>
                <c:pt idx="27">
                  <c:v>14.1</c:v>
                </c:pt>
                <c:pt idx="28">
                  <c:v>13.8</c:v>
                </c:pt>
                <c:pt idx="29">
                  <c:v>13.9</c:v>
                </c:pt>
                <c:pt idx="30">
                  <c:v>12</c:v>
                </c:pt>
                <c:pt idx="31">
                  <c:v>11.8</c:v>
                </c:pt>
                <c:pt idx="32">
                  <c:v>5.2</c:v>
                </c:pt>
                <c:pt idx="33">
                  <c:v>12</c:v>
                </c:pt>
                <c:pt idx="34">
                  <c:v>11</c:v>
                </c:pt>
                <c:pt idx="35">
                  <c:v>12</c:v>
                </c:pt>
                <c:pt idx="36">
                  <c:v>12</c:v>
                </c:pt>
                <c:pt idx="37">
                  <c:v>11.4</c:v>
                </c:pt>
                <c:pt idx="38">
                  <c:v>7.1</c:v>
                </c:pt>
                <c:pt idx="39">
                  <c:v>11.8</c:v>
                </c:pt>
                <c:pt idx="40">
                  <c:v>11.2</c:v>
                </c:pt>
                <c:pt idx="41">
                  <c:v>11.6</c:v>
                </c:pt>
                <c:pt idx="42">
                  <c:v>12.8</c:v>
                </c:pt>
                <c:pt idx="43">
                  <c:v>12.2</c:v>
                </c:pt>
                <c:pt idx="44">
                  <c:v>8.9</c:v>
                </c:pt>
                <c:pt idx="45">
                  <c:v>10.4</c:v>
                </c:pt>
                <c:pt idx="46">
                  <c:v>12.4</c:v>
                </c:pt>
                <c:pt idx="47">
                  <c:v>7.7</c:v>
                </c:pt>
                <c:pt idx="48">
                  <c:v>6.7</c:v>
                </c:pt>
                <c:pt idx="49">
                  <c:v>4.9</c:v>
                </c:pt>
                <c:pt idx="50">
                  <c:v>2</c:v>
                </c:pt>
                <c:pt idx="51">
                  <c:v>0.7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ряды'!H21</c:f>
              <c:strCache>
                <c:ptCount val="1"/>
                <c:pt idx="0">
                  <c:v>CPU mysqld, %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ряды'!$A$22:$A$73</c:f>
              <c:strCache>
                <c:ptCount val="5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</c:strCache>
            </c:strRef>
          </c:cat>
          <c:val>
            <c:numRef>
              <c:f>'Временные ряды'!$H$22:$H$73</c:f>
              <c:numCache>
                <c:formatCode>General</c:formatCode>
                <c:ptCount val="52"/>
                <c:pt idx="0">
                  <c:v>2.5</c:v>
                </c:pt>
                <c:pt idx="1">
                  <c:v>2.5</c:v>
                </c:pt>
                <c:pt idx="2">
                  <c:v>3.9</c:v>
                </c:pt>
                <c:pt idx="3">
                  <c:v>4.9</c:v>
                </c:pt>
                <c:pt idx="4">
                  <c:v>6.5</c:v>
                </c:pt>
                <c:pt idx="5">
                  <c:v>7.3</c:v>
                </c:pt>
                <c:pt idx="6">
                  <c:v>7.5</c:v>
                </c:pt>
                <c:pt idx="7">
                  <c:v>3.4</c:v>
                </c:pt>
                <c:pt idx="8">
                  <c:v>9.8</c:v>
                </c:pt>
                <c:pt idx="9">
                  <c:v>10.8</c:v>
                </c:pt>
                <c:pt idx="10">
                  <c:v>12</c:v>
                </c:pt>
                <c:pt idx="11">
                  <c:v>12.1</c:v>
                </c:pt>
                <c:pt idx="12">
                  <c:v>12.1</c:v>
                </c:pt>
                <c:pt idx="13">
                  <c:v>5.8</c:v>
                </c:pt>
                <c:pt idx="14">
                  <c:v>11.8</c:v>
                </c:pt>
                <c:pt idx="15">
                  <c:v>12.3</c:v>
                </c:pt>
                <c:pt idx="16">
                  <c:v>12.9</c:v>
                </c:pt>
                <c:pt idx="17">
                  <c:v>11.4</c:v>
                </c:pt>
                <c:pt idx="18">
                  <c:v>11.4</c:v>
                </c:pt>
                <c:pt idx="19">
                  <c:v>8.3</c:v>
                </c:pt>
                <c:pt idx="20">
                  <c:v>13.4</c:v>
                </c:pt>
                <c:pt idx="21">
                  <c:v>12.2</c:v>
                </c:pt>
                <c:pt idx="22">
                  <c:v>11.4</c:v>
                </c:pt>
                <c:pt idx="23">
                  <c:v>13.5</c:v>
                </c:pt>
                <c:pt idx="24">
                  <c:v>12</c:v>
                </c:pt>
                <c:pt idx="25">
                  <c:v>12.4</c:v>
                </c:pt>
                <c:pt idx="26">
                  <c:v>7.8</c:v>
                </c:pt>
                <c:pt idx="27">
                  <c:v>12.2</c:v>
                </c:pt>
                <c:pt idx="28">
                  <c:v>11.4</c:v>
                </c:pt>
                <c:pt idx="29">
                  <c:v>13</c:v>
                </c:pt>
                <c:pt idx="30">
                  <c:v>13</c:v>
                </c:pt>
                <c:pt idx="31">
                  <c:v>12.4</c:v>
                </c:pt>
                <c:pt idx="32">
                  <c:v>5.2</c:v>
                </c:pt>
                <c:pt idx="33">
                  <c:v>12.4</c:v>
                </c:pt>
                <c:pt idx="34">
                  <c:v>11.6</c:v>
                </c:pt>
                <c:pt idx="35">
                  <c:v>11.4</c:v>
                </c:pt>
                <c:pt idx="36">
                  <c:v>12.7</c:v>
                </c:pt>
                <c:pt idx="37">
                  <c:v>11.4</c:v>
                </c:pt>
                <c:pt idx="38">
                  <c:v>6.8</c:v>
                </c:pt>
                <c:pt idx="39">
                  <c:v>12.4</c:v>
                </c:pt>
                <c:pt idx="40">
                  <c:v>11.8</c:v>
                </c:pt>
                <c:pt idx="41">
                  <c:v>12</c:v>
                </c:pt>
                <c:pt idx="42">
                  <c:v>13.9</c:v>
                </c:pt>
                <c:pt idx="43">
                  <c:v>13.1</c:v>
                </c:pt>
                <c:pt idx="44">
                  <c:v>8.6</c:v>
                </c:pt>
                <c:pt idx="45">
                  <c:v>11.2</c:v>
                </c:pt>
                <c:pt idx="46">
                  <c:v>11.4</c:v>
                </c:pt>
                <c:pt idx="47">
                  <c:v>8</c:v>
                </c:pt>
                <c:pt idx="48">
                  <c:v>7.3</c:v>
                </c:pt>
                <c:pt idx="49">
                  <c:v>5.7</c:v>
                </c:pt>
                <c:pt idx="50">
                  <c:v>2.7</c:v>
                </c:pt>
                <c:pt idx="51">
                  <c:v>1.7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'Временные ряды'!I21</c:f>
              <c:strCache>
                <c:ptCount val="1"/>
                <c:pt idx="0">
                  <c:v>CPU машины, 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ряды'!$A$22:$A$73</c:f>
              <c:strCache>
                <c:ptCount val="5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</c:strCache>
            </c:strRef>
          </c:cat>
          <c:val>
            <c:numRef>
              <c:f>'Временные ряды'!$I$22:$I$73</c:f>
              <c:numCache>
                <c:formatCode>General</c:formatCode>
                <c:ptCount val="52"/>
                <c:pt idx="0">
                  <c:v>0.6</c:v>
                </c:pt>
                <c:pt idx="1">
                  <c:v>1.2</c:v>
                </c:pt>
                <c:pt idx="2">
                  <c:v>1.3</c:v>
                </c:pt>
                <c:pt idx="3">
                  <c:v>1.5</c:v>
                </c:pt>
                <c:pt idx="4">
                  <c:v>1.8</c:v>
                </c:pt>
                <c:pt idx="5">
                  <c:v>1.6</c:v>
                </c:pt>
                <c:pt idx="6">
                  <c:v>1.9</c:v>
                </c:pt>
                <c:pt idx="7">
                  <c:v>3.1</c:v>
                </c:pt>
                <c:pt idx="8">
                  <c:v>2.8</c:v>
                </c:pt>
                <c:pt idx="9">
                  <c:v>3.7</c:v>
                </c:pt>
                <c:pt idx="10">
                  <c:v>2</c:v>
                </c:pt>
                <c:pt idx="11">
                  <c:v>1.9</c:v>
                </c:pt>
                <c:pt idx="12">
                  <c:v>2.3</c:v>
                </c:pt>
                <c:pt idx="13">
                  <c:v>2.5</c:v>
                </c:pt>
                <c:pt idx="14">
                  <c:v>2.6</c:v>
                </c:pt>
                <c:pt idx="15">
                  <c:v>2.6</c:v>
                </c:pt>
                <c:pt idx="16">
                  <c:v>2.2</c:v>
                </c:pt>
                <c:pt idx="17">
                  <c:v>2.1</c:v>
                </c:pt>
                <c:pt idx="18">
                  <c:v>2.4</c:v>
                </c:pt>
                <c:pt idx="19">
                  <c:v>2.2</c:v>
                </c:pt>
                <c:pt idx="20">
                  <c:v>2.4</c:v>
                </c:pt>
                <c:pt idx="21">
                  <c:v>2.1</c:v>
                </c:pt>
                <c:pt idx="22">
                  <c:v>1.9</c:v>
                </c:pt>
                <c:pt idx="23">
                  <c:v>2</c:v>
                </c:pt>
                <c:pt idx="24">
                  <c:v>1.9</c:v>
                </c:pt>
                <c:pt idx="25">
                  <c:v>1.9</c:v>
                </c:pt>
                <c:pt idx="26">
                  <c:v>2.1</c:v>
                </c:pt>
                <c:pt idx="27">
                  <c:v>2.1</c:v>
                </c:pt>
                <c:pt idx="28">
                  <c:v>1.9</c:v>
                </c:pt>
                <c:pt idx="29">
                  <c:v>4.2</c:v>
                </c:pt>
                <c:pt idx="30">
                  <c:v>4.5</c:v>
                </c:pt>
                <c:pt idx="31">
                  <c:v>2.1</c:v>
                </c:pt>
                <c:pt idx="32">
                  <c:v>2</c:v>
                </c:pt>
                <c:pt idx="33">
                  <c:v>2.1</c:v>
                </c:pt>
                <c:pt idx="34">
                  <c:v>1.7</c:v>
                </c:pt>
                <c:pt idx="35">
                  <c:v>2</c:v>
                </c:pt>
                <c:pt idx="36">
                  <c:v>1.9</c:v>
                </c:pt>
                <c:pt idx="37">
                  <c:v>1.9</c:v>
                </c:pt>
                <c:pt idx="38">
                  <c:v>2.1</c:v>
                </c:pt>
                <c:pt idx="39">
                  <c:v>4</c:v>
                </c:pt>
                <c:pt idx="40">
                  <c:v>1.8</c:v>
                </c:pt>
                <c:pt idx="41">
                  <c:v>2.2</c:v>
                </c:pt>
                <c:pt idx="42">
                  <c:v>2.1</c:v>
                </c:pt>
                <c:pt idx="43">
                  <c:v>2.1</c:v>
                </c:pt>
                <c:pt idx="44">
                  <c:v>1.9</c:v>
                </c:pt>
                <c:pt idx="45">
                  <c:v>1.8</c:v>
                </c:pt>
                <c:pt idx="46">
                  <c:v>1.8</c:v>
                </c:pt>
                <c:pt idx="47">
                  <c:v>1.3</c:v>
                </c:pt>
                <c:pt idx="48">
                  <c:v>1.2</c:v>
                </c:pt>
                <c:pt idx="49">
                  <c:v>0.9</c:v>
                </c:pt>
                <c:pt idx="50">
                  <c:v>0.9</c:v>
                </c:pt>
                <c:pt idx="51">
                  <c:v>0.3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0222448"/>
        <c:axId val="83828189"/>
      </c:lineChart>
      <c:catAx>
        <c:axId val="502224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828189"/>
        <c:crosses val="autoZero"/>
        <c:auto val="1"/>
        <c:lblAlgn val="ctr"/>
        <c:lblOffset val="100"/>
        <c:noMultiLvlLbl val="0"/>
      </c:catAx>
      <c:valAx>
        <c:axId val="838281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22244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L-03: VU и RPS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ряды'!B77</c:f>
              <c:strCache>
                <c:ptCount val="1"/>
                <c:pt idx="0">
                  <c:v>VU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ряды'!$A$78:$A$152</c:f>
              <c:strCache>
                <c:ptCount val="7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</c:strCache>
            </c:strRef>
          </c:cat>
          <c:val>
            <c:numRef>
              <c:f>'Временные ряды'!$B$78:$B$152</c:f>
              <c:numCache>
                <c:formatCode>General</c:formatCode>
                <c:ptCount val="75"/>
                <c:pt idx="0">
                  <c:v>7</c:v>
                </c:pt>
                <c:pt idx="1">
                  <c:v>16</c:v>
                </c:pt>
                <c:pt idx="2">
                  <c:v>23</c:v>
                </c:pt>
                <c:pt idx="3">
                  <c:v>32</c:v>
                </c:pt>
                <c:pt idx="4">
                  <c:v>41</c:v>
                </c:pt>
                <c:pt idx="5">
                  <c:v>48</c:v>
                </c:pt>
                <c:pt idx="6">
                  <c:v>58</c:v>
                </c:pt>
                <c:pt idx="7">
                  <c:v>66</c:v>
                </c:pt>
                <c:pt idx="8">
                  <c:v>75</c:v>
                </c:pt>
                <c:pt idx="9">
                  <c:v>82</c:v>
                </c:pt>
                <c:pt idx="10">
                  <c:v>91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96</c:v>
                </c:pt>
                <c:pt idx="70">
                  <c:v>83</c:v>
                </c:pt>
                <c:pt idx="71">
                  <c:v>69</c:v>
                </c:pt>
                <c:pt idx="72">
                  <c:v>53</c:v>
                </c:pt>
                <c:pt idx="73">
                  <c:v>40</c:v>
                </c:pt>
                <c:pt idx="74">
                  <c:v>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ряды'!C77</c:f>
              <c:strCache>
                <c:ptCount val="1"/>
                <c:pt idx="0">
                  <c:v>RPS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ряды'!$A$78:$A$152</c:f>
              <c:strCache>
                <c:ptCount val="7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</c:strCache>
            </c:strRef>
          </c:cat>
          <c:val>
            <c:numRef>
              <c:f>'Временные ряды'!$C$78:$C$152</c:f>
              <c:numCache>
                <c:formatCode>General</c:formatCode>
                <c:ptCount val="75"/>
                <c:pt idx="0">
                  <c:v>7.2</c:v>
                </c:pt>
                <c:pt idx="1">
                  <c:v>12.2</c:v>
                </c:pt>
                <c:pt idx="2">
                  <c:v>17.6</c:v>
                </c:pt>
                <c:pt idx="3">
                  <c:v>23.6</c:v>
                </c:pt>
                <c:pt idx="4">
                  <c:v>27.4</c:v>
                </c:pt>
                <c:pt idx="5">
                  <c:v>36.8</c:v>
                </c:pt>
                <c:pt idx="6">
                  <c:v>54.4</c:v>
                </c:pt>
                <c:pt idx="7">
                  <c:v>44.6</c:v>
                </c:pt>
                <c:pt idx="8">
                  <c:v>49.6</c:v>
                </c:pt>
                <c:pt idx="9">
                  <c:v>56.2</c:v>
                </c:pt>
                <c:pt idx="10">
                  <c:v>61.2</c:v>
                </c:pt>
                <c:pt idx="11">
                  <c:v>68</c:v>
                </c:pt>
                <c:pt idx="12">
                  <c:v>82.8</c:v>
                </c:pt>
                <c:pt idx="13">
                  <c:v>57.2</c:v>
                </c:pt>
                <c:pt idx="14">
                  <c:v>62.4</c:v>
                </c:pt>
                <c:pt idx="15">
                  <c:v>62.8</c:v>
                </c:pt>
                <c:pt idx="16">
                  <c:v>63.2</c:v>
                </c:pt>
                <c:pt idx="17">
                  <c:v>66.4</c:v>
                </c:pt>
                <c:pt idx="18">
                  <c:v>86.8</c:v>
                </c:pt>
                <c:pt idx="19">
                  <c:v>59.2</c:v>
                </c:pt>
                <c:pt idx="20">
                  <c:v>66.2</c:v>
                </c:pt>
                <c:pt idx="21">
                  <c:v>64.4</c:v>
                </c:pt>
                <c:pt idx="22">
                  <c:v>60.6</c:v>
                </c:pt>
                <c:pt idx="23">
                  <c:v>64.4</c:v>
                </c:pt>
                <c:pt idx="24">
                  <c:v>87.6</c:v>
                </c:pt>
                <c:pt idx="25">
                  <c:v>61.2</c:v>
                </c:pt>
                <c:pt idx="26">
                  <c:v>67.8</c:v>
                </c:pt>
                <c:pt idx="27">
                  <c:v>62</c:v>
                </c:pt>
                <c:pt idx="28">
                  <c:v>63.4</c:v>
                </c:pt>
                <c:pt idx="29">
                  <c:v>63.8</c:v>
                </c:pt>
                <c:pt idx="30">
                  <c:v>86.6</c:v>
                </c:pt>
                <c:pt idx="31">
                  <c:v>63.8</c:v>
                </c:pt>
                <c:pt idx="32">
                  <c:v>63.8</c:v>
                </c:pt>
                <c:pt idx="33">
                  <c:v>63.2</c:v>
                </c:pt>
                <c:pt idx="34">
                  <c:v>66.2</c:v>
                </c:pt>
                <c:pt idx="35">
                  <c:v>63.4</c:v>
                </c:pt>
                <c:pt idx="36">
                  <c:v>83.6</c:v>
                </c:pt>
                <c:pt idx="37">
                  <c:v>66.2</c:v>
                </c:pt>
                <c:pt idx="38">
                  <c:v>63.2</c:v>
                </c:pt>
                <c:pt idx="39">
                  <c:v>63.6</c:v>
                </c:pt>
                <c:pt idx="40">
                  <c:v>65.6</c:v>
                </c:pt>
                <c:pt idx="41">
                  <c:v>64.6</c:v>
                </c:pt>
                <c:pt idx="42">
                  <c:v>77.4</c:v>
                </c:pt>
                <c:pt idx="43">
                  <c:v>73.8</c:v>
                </c:pt>
                <c:pt idx="44">
                  <c:v>63.4</c:v>
                </c:pt>
                <c:pt idx="45">
                  <c:v>60.8</c:v>
                </c:pt>
                <c:pt idx="46">
                  <c:v>67.4</c:v>
                </c:pt>
                <c:pt idx="47">
                  <c:v>62.6</c:v>
                </c:pt>
                <c:pt idx="48">
                  <c:v>68.8</c:v>
                </c:pt>
                <c:pt idx="49">
                  <c:v>83.4</c:v>
                </c:pt>
                <c:pt idx="50">
                  <c:v>62</c:v>
                </c:pt>
                <c:pt idx="51">
                  <c:v>62</c:v>
                </c:pt>
                <c:pt idx="52">
                  <c:v>63.2</c:v>
                </c:pt>
                <c:pt idx="53">
                  <c:v>65.8</c:v>
                </c:pt>
                <c:pt idx="54">
                  <c:v>62.8</c:v>
                </c:pt>
                <c:pt idx="55">
                  <c:v>83.4</c:v>
                </c:pt>
                <c:pt idx="56">
                  <c:v>66.6</c:v>
                </c:pt>
                <c:pt idx="57">
                  <c:v>61</c:v>
                </c:pt>
                <c:pt idx="58">
                  <c:v>61.2</c:v>
                </c:pt>
                <c:pt idx="59">
                  <c:v>64.6</c:v>
                </c:pt>
                <c:pt idx="60">
                  <c:v>64</c:v>
                </c:pt>
                <c:pt idx="61">
                  <c:v>80.2</c:v>
                </c:pt>
                <c:pt idx="62">
                  <c:v>66.4</c:v>
                </c:pt>
                <c:pt idx="63">
                  <c:v>64.2</c:v>
                </c:pt>
                <c:pt idx="64">
                  <c:v>68</c:v>
                </c:pt>
                <c:pt idx="65">
                  <c:v>62.8</c:v>
                </c:pt>
                <c:pt idx="66">
                  <c:v>63.8</c:v>
                </c:pt>
                <c:pt idx="67">
                  <c:v>85.6</c:v>
                </c:pt>
                <c:pt idx="68">
                  <c:v>62.4</c:v>
                </c:pt>
                <c:pt idx="69">
                  <c:v>55.6</c:v>
                </c:pt>
                <c:pt idx="70">
                  <c:v>51.8</c:v>
                </c:pt>
                <c:pt idx="71">
                  <c:v>35.4</c:v>
                </c:pt>
                <c:pt idx="72">
                  <c:v>27</c:v>
                </c:pt>
                <c:pt idx="73">
                  <c:v>23.2</c:v>
                </c:pt>
                <c:pt idx="74">
                  <c:v>2.4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706971"/>
        <c:axId val="55694900"/>
      </c:lineChart>
      <c:catAx>
        <c:axId val="177069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694900"/>
        <c:crosses val="autoZero"/>
        <c:auto val="1"/>
        <c:lblAlgn val="ctr"/>
        <c:lblOffset val="100"/>
        <c:noMultiLvlLbl val="0"/>
      </c:catAx>
      <c:valAx>
        <c:axId val="556949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7069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L-03: время отклика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ряды'!D77</c:f>
              <c:strCache>
                <c:ptCount val="1"/>
                <c:pt idx="0">
                  <c:v>p95, мс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ряды'!$A$78:$A$152</c:f>
              <c:strCache>
                <c:ptCount val="7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</c:strCache>
            </c:strRef>
          </c:cat>
          <c:val>
            <c:numRef>
              <c:f>'Временные ряды'!$D$78:$D$152</c:f>
              <c:numCache>
                <c:formatCode>General</c:formatCode>
                <c:ptCount val="75"/>
                <c:pt idx="0">
                  <c:v>48.7</c:v>
                </c:pt>
                <c:pt idx="1">
                  <c:v>57.3</c:v>
                </c:pt>
                <c:pt idx="2">
                  <c:v>30.1</c:v>
                </c:pt>
                <c:pt idx="3">
                  <c:v>21.4</c:v>
                </c:pt>
                <c:pt idx="4">
                  <c:v>31.9</c:v>
                </c:pt>
                <c:pt idx="5">
                  <c:v>19.4</c:v>
                </c:pt>
                <c:pt idx="6">
                  <c:v>18.9</c:v>
                </c:pt>
                <c:pt idx="7">
                  <c:v>18.1</c:v>
                </c:pt>
                <c:pt idx="8">
                  <c:v>18.5</c:v>
                </c:pt>
                <c:pt idx="9">
                  <c:v>24.7</c:v>
                </c:pt>
                <c:pt idx="10">
                  <c:v>17.9</c:v>
                </c:pt>
                <c:pt idx="11">
                  <c:v>16.1</c:v>
                </c:pt>
                <c:pt idx="12">
                  <c:v>16.3</c:v>
                </c:pt>
                <c:pt idx="13">
                  <c:v>16.4</c:v>
                </c:pt>
                <c:pt idx="14">
                  <c:v>16.8</c:v>
                </c:pt>
                <c:pt idx="15">
                  <c:v>17</c:v>
                </c:pt>
                <c:pt idx="16">
                  <c:v>17.2</c:v>
                </c:pt>
                <c:pt idx="17">
                  <c:v>16.6</c:v>
                </c:pt>
                <c:pt idx="18">
                  <c:v>16.6</c:v>
                </c:pt>
                <c:pt idx="19">
                  <c:v>17.3</c:v>
                </c:pt>
                <c:pt idx="20">
                  <c:v>17.1</c:v>
                </c:pt>
                <c:pt idx="21">
                  <c:v>17.7</c:v>
                </c:pt>
                <c:pt idx="22">
                  <c:v>17</c:v>
                </c:pt>
                <c:pt idx="23">
                  <c:v>18.2</c:v>
                </c:pt>
                <c:pt idx="24">
                  <c:v>16.3</c:v>
                </c:pt>
                <c:pt idx="25">
                  <c:v>16.8</c:v>
                </c:pt>
                <c:pt idx="26">
                  <c:v>17.3</c:v>
                </c:pt>
                <c:pt idx="27">
                  <c:v>17.3</c:v>
                </c:pt>
                <c:pt idx="28">
                  <c:v>17.4</c:v>
                </c:pt>
                <c:pt idx="29">
                  <c:v>17.7</c:v>
                </c:pt>
                <c:pt idx="30">
                  <c:v>16.9</c:v>
                </c:pt>
                <c:pt idx="31">
                  <c:v>17.3</c:v>
                </c:pt>
                <c:pt idx="32">
                  <c:v>16.5</c:v>
                </c:pt>
                <c:pt idx="33">
                  <c:v>16.5</c:v>
                </c:pt>
                <c:pt idx="34">
                  <c:v>18.2</c:v>
                </c:pt>
                <c:pt idx="35">
                  <c:v>17.4</c:v>
                </c:pt>
                <c:pt idx="36">
                  <c:v>17</c:v>
                </c:pt>
                <c:pt idx="37">
                  <c:v>17.6</c:v>
                </c:pt>
                <c:pt idx="38">
                  <c:v>17.2</c:v>
                </c:pt>
                <c:pt idx="39">
                  <c:v>17</c:v>
                </c:pt>
                <c:pt idx="40">
                  <c:v>17</c:v>
                </c:pt>
                <c:pt idx="41">
                  <c:v>17.2</c:v>
                </c:pt>
                <c:pt idx="42">
                  <c:v>17.8</c:v>
                </c:pt>
                <c:pt idx="43">
                  <c:v>17.6</c:v>
                </c:pt>
                <c:pt idx="44">
                  <c:v>16.8</c:v>
                </c:pt>
                <c:pt idx="45">
                  <c:v>17</c:v>
                </c:pt>
                <c:pt idx="46">
                  <c:v>17.6</c:v>
                </c:pt>
                <c:pt idx="47">
                  <c:v>17.2</c:v>
                </c:pt>
                <c:pt idx="48">
                  <c:v>17.2</c:v>
                </c:pt>
                <c:pt idx="49">
                  <c:v>17.3</c:v>
                </c:pt>
                <c:pt idx="50">
                  <c:v>17.5</c:v>
                </c:pt>
                <c:pt idx="51">
                  <c:v>17.9</c:v>
                </c:pt>
                <c:pt idx="52">
                  <c:v>17.5</c:v>
                </c:pt>
                <c:pt idx="53">
                  <c:v>18.2</c:v>
                </c:pt>
                <c:pt idx="54">
                  <c:v>18.3</c:v>
                </c:pt>
                <c:pt idx="55">
                  <c:v>17.6</c:v>
                </c:pt>
                <c:pt idx="56">
                  <c:v>17.5</c:v>
                </c:pt>
                <c:pt idx="57">
                  <c:v>18.3</c:v>
                </c:pt>
                <c:pt idx="58">
                  <c:v>17.2</c:v>
                </c:pt>
                <c:pt idx="59">
                  <c:v>17.4</c:v>
                </c:pt>
                <c:pt idx="60">
                  <c:v>18.2</c:v>
                </c:pt>
                <c:pt idx="61">
                  <c:v>17.4</c:v>
                </c:pt>
                <c:pt idx="62">
                  <c:v>17.6</c:v>
                </c:pt>
                <c:pt idx="63">
                  <c:v>18</c:v>
                </c:pt>
                <c:pt idx="64">
                  <c:v>18</c:v>
                </c:pt>
                <c:pt idx="65">
                  <c:v>17.4</c:v>
                </c:pt>
                <c:pt idx="66">
                  <c:v>17.4</c:v>
                </c:pt>
                <c:pt idx="67">
                  <c:v>17.4</c:v>
                </c:pt>
                <c:pt idx="68">
                  <c:v>17.5</c:v>
                </c:pt>
                <c:pt idx="69">
                  <c:v>18.1</c:v>
                </c:pt>
                <c:pt idx="70">
                  <c:v>18.2</c:v>
                </c:pt>
                <c:pt idx="71">
                  <c:v>16.9</c:v>
                </c:pt>
                <c:pt idx="72">
                  <c:v>19.4</c:v>
                </c:pt>
                <c:pt idx="73">
                  <c:v>22.5</c:v>
                </c:pt>
                <c:pt idx="74">
                  <c:v>162.3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ряды'!E77</c:f>
              <c:strCache>
                <c:ptCount val="1"/>
                <c:pt idx="0">
                  <c:v>Avg, мс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ряды'!$A$78:$A$152</c:f>
              <c:strCache>
                <c:ptCount val="7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</c:strCache>
            </c:strRef>
          </c:cat>
          <c:val>
            <c:numRef>
              <c:f>'Временные ряды'!$E$78:$E$152</c:f>
              <c:numCache>
                <c:formatCode>General</c:formatCode>
                <c:ptCount val="75"/>
                <c:pt idx="0">
                  <c:v>13.3</c:v>
                </c:pt>
                <c:pt idx="1">
                  <c:v>13.8</c:v>
                </c:pt>
                <c:pt idx="2">
                  <c:v>10.4</c:v>
                </c:pt>
                <c:pt idx="3">
                  <c:v>12.7</c:v>
                </c:pt>
                <c:pt idx="4">
                  <c:v>12.6</c:v>
                </c:pt>
                <c:pt idx="5">
                  <c:v>9.9</c:v>
                </c:pt>
                <c:pt idx="6">
                  <c:v>10.1</c:v>
                </c:pt>
                <c:pt idx="7">
                  <c:v>9.7</c:v>
                </c:pt>
                <c:pt idx="8">
                  <c:v>10.5</c:v>
                </c:pt>
                <c:pt idx="9">
                  <c:v>10.8</c:v>
                </c:pt>
                <c:pt idx="10">
                  <c:v>9.7</c:v>
                </c:pt>
                <c:pt idx="11">
                  <c:v>8.9</c:v>
                </c:pt>
                <c:pt idx="12">
                  <c:v>8.5</c:v>
                </c:pt>
                <c:pt idx="13">
                  <c:v>8.3</c:v>
                </c:pt>
                <c:pt idx="14">
                  <c:v>8.4</c:v>
                </c:pt>
                <c:pt idx="15">
                  <c:v>8</c:v>
                </c:pt>
                <c:pt idx="16">
                  <c:v>8.6</c:v>
                </c:pt>
                <c:pt idx="17">
                  <c:v>8.3</c:v>
                </c:pt>
                <c:pt idx="18">
                  <c:v>8.5</c:v>
                </c:pt>
                <c:pt idx="19">
                  <c:v>9.1</c:v>
                </c:pt>
                <c:pt idx="20">
                  <c:v>8.7</c:v>
                </c:pt>
                <c:pt idx="21">
                  <c:v>9.2</c:v>
                </c:pt>
                <c:pt idx="22">
                  <c:v>8.5</c:v>
                </c:pt>
                <c:pt idx="23">
                  <c:v>9.2</c:v>
                </c:pt>
                <c:pt idx="24">
                  <c:v>8.4</c:v>
                </c:pt>
                <c:pt idx="25">
                  <c:v>9.1</c:v>
                </c:pt>
                <c:pt idx="26">
                  <c:v>8.4</c:v>
                </c:pt>
                <c:pt idx="27">
                  <c:v>8.6</c:v>
                </c:pt>
                <c:pt idx="28">
                  <c:v>8.5</c:v>
                </c:pt>
                <c:pt idx="29">
                  <c:v>8.7</c:v>
                </c:pt>
                <c:pt idx="30">
                  <c:v>8.5</c:v>
                </c:pt>
                <c:pt idx="31">
                  <c:v>8.3</c:v>
                </c:pt>
                <c:pt idx="32">
                  <c:v>8.6</c:v>
                </c:pt>
                <c:pt idx="33">
                  <c:v>8.2</c:v>
                </c:pt>
                <c:pt idx="34">
                  <c:v>8.8</c:v>
                </c:pt>
                <c:pt idx="35">
                  <c:v>8.6</c:v>
                </c:pt>
                <c:pt idx="36">
                  <c:v>8</c:v>
                </c:pt>
                <c:pt idx="37">
                  <c:v>8.9</c:v>
                </c:pt>
                <c:pt idx="38">
                  <c:v>8.3</c:v>
                </c:pt>
                <c:pt idx="39">
                  <c:v>8.4</c:v>
                </c:pt>
                <c:pt idx="40">
                  <c:v>8.5</c:v>
                </c:pt>
                <c:pt idx="41">
                  <c:v>8.7</c:v>
                </c:pt>
                <c:pt idx="42">
                  <c:v>9.2</c:v>
                </c:pt>
                <c:pt idx="43">
                  <c:v>8.4</c:v>
                </c:pt>
                <c:pt idx="44">
                  <c:v>8.2</c:v>
                </c:pt>
                <c:pt idx="45">
                  <c:v>9.1</c:v>
                </c:pt>
                <c:pt idx="46">
                  <c:v>8.5</c:v>
                </c:pt>
                <c:pt idx="47">
                  <c:v>8.3</c:v>
                </c:pt>
                <c:pt idx="48">
                  <c:v>9</c:v>
                </c:pt>
                <c:pt idx="49">
                  <c:v>8.3</c:v>
                </c:pt>
                <c:pt idx="50">
                  <c:v>8.4</c:v>
                </c:pt>
                <c:pt idx="51">
                  <c:v>9</c:v>
                </c:pt>
                <c:pt idx="52">
                  <c:v>8.8</c:v>
                </c:pt>
                <c:pt idx="53">
                  <c:v>9.1</c:v>
                </c:pt>
                <c:pt idx="54">
                  <c:v>9.2</c:v>
                </c:pt>
                <c:pt idx="55">
                  <c:v>8</c:v>
                </c:pt>
                <c:pt idx="56">
                  <c:v>8.7</c:v>
                </c:pt>
                <c:pt idx="57">
                  <c:v>8.7</c:v>
                </c:pt>
                <c:pt idx="58">
                  <c:v>8.6</c:v>
                </c:pt>
                <c:pt idx="59">
                  <c:v>8.3</c:v>
                </c:pt>
                <c:pt idx="60">
                  <c:v>8.8</c:v>
                </c:pt>
                <c:pt idx="61">
                  <c:v>9.3</c:v>
                </c:pt>
                <c:pt idx="62">
                  <c:v>8.8</c:v>
                </c:pt>
                <c:pt idx="63">
                  <c:v>8.6</c:v>
                </c:pt>
                <c:pt idx="64">
                  <c:v>8.8</c:v>
                </c:pt>
                <c:pt idx="65">
                  <c:v>8.7</c:v>
                </c:pt>
                <c:pt idx="66">
                  <c:v>8.4</c:v>
                </c:pt>
                <c:pt idx="67">
                  <c:v>8.4</c:v>
                </c:pt>
                <c:pt idx="68">
                  <c:v>9.4</c:v>
                </c:pt>
                <c:pt idx="69">
                  <c:v>8.7</c:v>
                </c:pt>
                <c:pt idx="70">
                  <c:v>9.6</c:v>
                </c:pt>
                <c:pt idx="71">
                  <c:v>8.8</c:v>
                </c:pt>
                <c:pt idx="72">
                  <c:v>12.9</c:v>
                </c:pt>
                <c:pt idx="73">
                  <c:v>12.9</c:v>
                </c:pt>
                <c:pt idx="74">
                  <c:v>36.2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871512"/>
        <c:axId val="96862864"/>
      </c:lineChart>
      <c:catAx>
        <c:axId val="128715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862864"/>
        <c:crosses val="autoZero"/>
        <c:auto val="1"/>
        <c:lblAlgn val="ctr"/>
        <c:lblOffset val="100"/>
        <c:noMultiLvlLbl val="0"/>
      </c:catAx>
      <c:valAx>
        <c:axId val="968628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87151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L-03: CPU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ряды'!G77</c:f>
              <c:strCache>
                <c:ptCount val="1"/>
                <c:pt idx="0">
                  <c:v>CPU java, %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ряды'!$A$78:$A$152</c:f>
              <c:strCache>
                <c:ptCount val="7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</c:strCache>
            </c:strRef>
          </c:cat>
          <c:val>
            <c:numRef>
              <c:f>'Временные ряды'!$G$78:$G$152</c:f>
              <c:numCache>
                <c:formatCode>General</c:formatCode>
                <c:ptCount val="75"/>
                <c:pt idx="0">
                  <c:v>28.6</c:v>
                </c:pt>
                <c:pt idx="1">
                  <c:v>33.6</c:v>
                </c:pt>
                <c:pt idx="2">
                  <c:v>45.1</c:v>
                </c:pt>
                <c:pt idx="3">
                  <c:v>28.6</c:v>
                </c:pt>
                <c:pt idx="4">
                  <c:v>23.4</c:v>
                </c:pt>
                <c:pt idx="5">
                  <c:v>23.2</c:v>
                </c:pt>
                <c:pt idx="6">
                  <c:v>25.7</c:v>
                </c:pt>
                <c:pt idx="7">
                  <c:v>29.2</c:v>
                </c:pt>
                <c:pt idx="8">
                  <c:v>37.5</c:v>
                </c:pt>
                <c:pt idx="9">
                  <c:v>42.9</c:v>
                </c:pt>
                <c:pt idx="10">
                  <c:v>36.1</c:v>
                </c:pt>
                <c:pt idx="11">
                  <c:v>51.9</c:v>
                </c:pt>
                <c:pt idx="12">
                  <c:v>19.8</c:v>
                </c:pt>
                <c:pt idx="13">
                  <c:v>33.2</c:v>
                </c:pt>
                <c:pt idx="14">
                  <c:v>33.2</c:v>
                </c:pt>
                <c:pt idx="15">
                  <c:v>28.5</c:v>
                </c:pt>
                <c:pt idx="16">
                  <c:v>30.3</c:v>
                </c:pt>
                <c:pt idx="17">
                  <c:v>34.6</c:v>
                </c:pt>
                <c:pt idx="18">
                  <c:v>5.8</c:v>
                </c:pt>
                <c:pt idx="19">
                  <c:v>30.9</c:v>
                </c:pt>
                <c:pt idx="20">
                  <c:v>29.1</c:v>
                </c:pt>
                <c:pt idx="21">
                  <c:v>39.6</c:v>
                </c:pt>
                <c:pt idx="22">
                  <c:v>25.4</c:v>
                </c:pt>
                <c:pt idx="23">
                  <c:v>30.3</c:v>
                </c:pt>
                <c:pt idx="24">
                  <c:v>12.8</c:v>
                </c:pt>
                <c:pt idx="25">
                  <c:v>30</c:v>
                </c:pt>
                <c:pt idx="26">
                  <c:v>29.2</c:v>
                </c:pt>
                <c:pt idx="27">
                  <c:v>27.7</c:v>
                </c:pt>
                <c:pt idx="28">
                  <c:v>24.9</c:v>
                </c:pt>
                <c:pt idx="29">
                  <c:v>28.5</c:v>
                </c:pt>
                <c:pt idx="30">
                  <c:v>17.8</c:v>
                </c:pt>
                <c:pt idx="31">
                  <c:v>25.4</c:v>
                </c:pt>
                <c:pt idx="32">
                  <c:v>25.6</c:v>
                </c:pt>
                <c:pt idx="33">
                  <c:v>32.2</c:v>
                </c:pt>
                <c:pt idx="34">
                  <c:v>30.6</c:v>
                </c:pt>
                <c:pt idx="35">
                  <c:v>31.4</c:v>
                </c:pt>
                <c:pt idx="36">
                  <c:v>15.5</c:v>
                </c:pt>
                <c:pt idx="37">
                  <c:v>27.7</c:v>
                </c:pt>
                <c:pt idx="38">
                  <c:v>29</c:v>
                </c:pt>
                <c:pt idx="39">
                  <c:v>26.1</c:v>
                </c:pt>
                <c:pt idx="40">
                  <c:v>27.3</c:v>
                </c:pt>
                <c:pt idx="41">
                  <c:v>26</c:v>
                </c:pt>
                <c:pt idx="42">
                  <c:v>19</c:v>
                </c:pt>
                <c:pt idx="43">
                  <c:v>28.2</c:v>
                </c:pt>
                <c:pt idx="44">
                  <c:v>28.3</c:v>
                </c:pt>
                <c:pt idx="45">
                  <c:v>29.3</c:v>
                </c:pt>
                <c:pt idx="46">
                  <c:v>28.3</c:v>
                </c:pt>
                <c:pt idx="47">
                  <c:v>27.1</c:v>
                </c:pt>
                <c:pt idx="48">
                  <c:v>14.1</c:v>
                </c:pt>
                <c:pt idx="49">
                  <c:v>27.6</c:v>
                </c:pt>
                <c:pt idx="50">
                  <c:v>28</c:v>
                </c:pt>
                <c:pt idx="51">
                  <c:v>26.3</c:v>
                </c:pt>
                <c:pt idx="52">
                  <c:v>26.9</c:v>
                </c:pt>
                <c:pt idx="53">
                  <c:v>31.6</c:v>
                </c:pt>
                <c:pt idx="54">
                  <c:v>23.9</c:v>
                </c:pt>
                <c:pt idx="55">
                  <c:v>26.1</c:v>
                </c:pt>
                <c:pt idx="56">
                  <c:v>31.2</c:v>
                </c:pt>
                <c:pt idx="57">
                  <c:v>26.1</c:v>
                </c:pt>
                <c:pt idx="58">
                  <c:v>25.7</c:v>
                </c:pt>
                <c:pt idx="59">
                  <c:v>25.3</c:v>
                </c:pt>
                <c:pt idx="60">
                  <c:v>28.2</c:v>
                </c:pt>
                <c:pt idx="61">
                  <c:v>19.3</c:v>
                </c:pt>
                <c:pt idx="62">
                  <c:v>29</c:v>
                </c:pt>
                <c:pt idx="63">
                  <c:v>27.3</c:v>
                </c:pt>
                <c:pt idx="64">
                  <c:v>27.5</c:v>
                </c:pt>
                <c:pt idx="65">
                  <c:v>26.9</c:v>
                </c:pt>
                <c:pt idx="66">
                  <c:v>29.5</c:v>
                </c:pt>
                <c:pt idx="67">
                  <c:v>17.4</c:v>
                </c:pt>
                <c:pt idx="68">
                  <c:v>28.1</c:v>
                </c:pt>
                <c:pt idx="69">
                  <c:v>22.9</c:v>
                </c:pt>
                <c:pt idx="70">
                  <c:v>24.4</c:v>
                </c:pt>
                <c:pt idx="71">
                  <c:v>16.7</c:v>
                </c:pt>
                <c:pt idx="72">
                  <c:v>13.7</c:v>
                </c:pt>
                <c:pt idx="73">
                  <c:v>8.7</c:v>
                </c:pt>
                <c:pt idx="74">
                  <c:v>7.1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ряды'!H77</c:f>
              <c:strCache>
                <c:ptCount val="1"/>
                <c:pt idx="0">
                  <c:v>CPU mysqld, %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ряды'!$A$78:$A$152</c:f>
              <c:strCache>
                <c:ptCount val="7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</c:strCache>
            </c:strRef>
          </c:cat>
          <c:val>
            <c:numRef>
              <c:f>'Временные ряды'!$H$78:$H$152</c:f>
              <c:numCache>
                <c:formatCode>General</c:formatCode>
                <c:ptCount val="75"/>
                <c:pt idx="0">
                  <c:v>4.9</c:v>
                </c:pt>
                <c:pt idx="1">
                  <c:v>5.3</c:v>
                </c:pt>
                <c:pt idx="2">
                  <c:v>7.4</c:v>
                </c:pt>
                <c:pt idx="3">
                  <c:v>8.6</c:v>
                </c:pt>
                <c:pt idx="4">
                  <c:v>11.6</c:v>
                </c:pt>
                <c:pt idx="5">
                  <c:v>13.6</c:v>
                </c:pt>
                <c:pt idx="6">
                  <c:v>9.4</c:v>
                </c:pt>
                <c:pt idx="7">
                  <c:v>16.7</c:v>
                </c:pt>
                <c:pt idx="8">
                  <c:v>18.3</c:v>
                </c:pt>
                <c:pt idx="9">
                  <c:v>21.4</c:v>
                </c:pt>
                <c:pt idx="10">
                  <c:v>23</c:v>
                </c:pt>
                <c:pt idx="11">
                  <c:v>22.2</c:v>
                </c:pt>
                <c:pt idx="12">
                  <c:v>13</c:v>
                </c:pt>
                <c:pt idx="13">
                  <c:v>22.2</c:v>
                </c:pt>
                <c:pt idx="14">
                  <c:v>23</c:v>
                </c:pt>
                <c:pt idx="15">
                  <c:v>22.2</c:v>
                </c:pt>
                <c:pt idx="16">
                  <c:v>23.6</c:v>
                </c:pt>
                <c:pt idx="17">
                  <c:v>24.2</c:v>
                </c:pt>
                <c:pt idx="18">
                  <c:v>12</c:v>
                </c:pt>
                <c:pt idx="19">
                  <c:v>23.8</c:v>
                </c:pt>
                <c:pt idx="20">
                  <c:v>25.1</c:v>
                </c:pt>
                <c:pt idx="21">
                  <c:v>24.5</c:v>
                </c:pt>
                <c:pt idx="22">
                  <c:v>24.5</c:v>
                </c:pt>
                <c:pt idx="23">
                  <c:v>26.9</c:v>
                </c:pt>
                <c:pt idx="24">
                  <c:v>13.3</c:v>
                </c:pt>
                <c:pt idx="25">
                  <c:v>23.2</c:v>
                </c:pt>
                <c:pt idx="26">
                  <c:v>25.4</c:v>
                </c:pt>
                <c:pt idx="27">
                  <c:v>24.4</c:v>
                </c:pt>
                <c:pt idx="28">
                  <c:v>24.3</c:v>
                </c:pt>
                <c:pt idx="29">
                  <c:v>25</c:v>
                </c:pt>
                <c:pt idx="30">
                  <c:v>13.3</c:v>
                </c:pt>
                <c:pt idx="31">
                  <c:v>24.8</c:v>
                </c:pt>
                <c:pt idx="32">
                  <c:v>23</c:v>
                </c:pt>
                <c:pt idx="33">
                  <c:v>24.6</c:v>
                </c:pt>
                <c:pt idx="34">
                  <c:v>26.1</c:v>
                </c:pt>
                <c:pt idx="35">
                  <c:v>24.4</c:v>
                </c:pt>
                <c:pt idx="36">
                  <c:v>12.5</c:v>
                </c:pt>
                <c:pt idx="37">
                  <c:v>25.8</c:v>
                </c:pt>
                <c:pt idx="38">
                  <c:v>23.9</c:v>
                </c:pt>
                <c:pt idx="39">
                  <c:v>23</c:v>
                </c:pt>
                <c:pt idx="40">
                  <c:v>25.5</c:v>
                </c:pt>
                <c:pt idx="41">
                  <c:v>25.2</c:v>
                </c:pt>
                <c:pt idx="42">
                  <c:v>15.2</c:v>
                </c:pt>
                <c:pt idx="43">
                  <c:v>24.3</c:v>
                </c:pt>
                <c:pt idx="44">
                  <c:v>25</c:v>
                </c:pt>
                <c:pt idx="45">
                  <c:v>24.2</c:v>
                </c:pt>
                <c:pt idx="46">
                  <c:v>25.9</c:v>
                </c:pt>
                <c:pt idx="47">
                  <c:v>22.6</c:v>
                </c:pt>
                <c:pt idx="48">
                  <c:v>12</c:v>
                </c:pt>
                <c:pt idx="49">
                  <c:v>24.7</c:v>
                </c:pt>
                <c:pt idx="50">
                  <c:v>25.6</c:v>
                </c:pt>
                <c:pt idx="51">
                  <c:v>24.6</c:v>
                </c:pt>
                <c:pt idx="52">
                  <c:v>25.9</c:v>
                </c:pt>
                <c:pt idx="53">
                  <c:v>25.3</c:v>
                </c:pt>
                <c:pt idx="54">
                  <c:v>14.4</c:v>
                </c:pt>
                <c:pt idx="55">
                  <c:v>24.8</c:v>
                </c:pt>
                <c:pt idx="56">
                  <c:v>26.3</c:v>
                </c:pt>
                <c:pt idx="57">
                  <c:v>23.4</c:v>
                </c:pt>
                <c:pt idx="58">
                  <c:v>25.3</c:v>
                </c:pt>
                <c:pt idx="59">
                  <c:v>24.5</c:v>
                </c:pt>
                <c:pt idx="60">
                  <c:v>25.6</c:v>
                </c:pt>
                <c:pt idx="61">
                  <c:v>16.2</c:v>
                </c:pt>
                <c:pt idx="62">
                  <c:v>26.5</c:v>
                </c:pt>
                <c:pt idx="63">
                  <c:v>27.1</c:v>
                </c:pt>
                <c:pt idx="64">
                  <c:v>24.5</c:v>
                </c:pt>
                <c:pt idx="65">
                  <c:v>25.8</c:v>
                </c:pt>
                <c:pt idx="66">
                  <c:v>24</c:v>
                </c:pt>
                <c:pt idx="67">
                  <c:v>15.8</c:v>
                </c:pt>
                <c:pt idx="68">
                  <c:v>25.4</c:v>
                </c:pt>
                <c:pt idx="69">
                  <c:v>22.1</c:v>
                </c:pt>
                <c:pt idx="70">
                  <c:v>22.4</c:v>
                </c:pt>
                <c:pt idx="71">
                  <c:v>14.7</c:v>
                </c:pt>
                <c:pt idx="72">
                  <c:v>10.8</c:v>
                </c:pt>
                <c:pt idx="73">
                  <c:v>5.7</c:v>
                </c:pt>
                <c:pt idx="74">
                  <c:v>3.4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'Временные ряды'!I77</c:f>
              <c:strCache>
                <c:ptCount val="1"/>
                <c:pt idx="0">
                  <c:v>CPU машины, 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ряды'!$A$78:$A$152</c:f>
              <c:strCache>
                <c:ptCount val="7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</c:strCache>
            </c:strRef>
          </c:cat>
          <c:val>
            <c:numRef>
              <c:f>'Временные ряды'!$I$78:$I$152</c:f>
              <c:numCache>
                <c:formatCode>General</c:formatCode>
                <c:ptCount val="75"/>
                <c:pt idx="0">
                  <c:v>2.5</c:v>
                </c:pt>
                <c:pt idx="1">
                  <c:v>3</c:v>
                </c:pt>
                <c:pt idx="2">
                  <c:v>4.2</c:v>
                </c:pt>
                <c:pt idx="3">
                  <c:v>3.7</c:v>
                </c:pt>
                <c:pt idx="4">
                  <c:v>3.4</c:v>
                </c:pt>
                <c:pt idx="5">
                  <c:v>3.9</c:v>
                </c:pt>
                <c:pt idx="6">
                  <c:v>3.7</c:v>
                </c:pt>
                <c:pt idx="7">
                  <c:v>4.2</c:v>
                </c:pt>
                <c:pt idx="8">
                  <c:v>5.1</c:v>
                </c:pt>
                <c:pt idx="9">
                  <c:v>5.7</c:v>
                </c:pt>
                <c:pt idx="10">
                  <c:v>5.6</c:v>
                </c:pt>
                <c:pt idx="11">
                  <c:v>5.9</c:v>
                </c:pt>
                <c:pt idx="12">
                  <c:v>5</c:v>
                </c:pt>
                <c:pt idx="13">
                  <c:v>4.7</c:v>
                </c:pt>
                <c:pt idx="14">
                  <c:v>4.6</c:v>
                </c:pt>
                <c:pt idx="15">
                  <c:v>4.7</c:v>
                </c:pt>
                <c:pt idx="16">
                  <c:v>4.8</c:v>
                </c:pt>
                <c:pt idx="17">
                  <c:v>4.9</c:v>
                </c:pt>
                <c:pt idx="18">
                  <c:v>5.3</c:v>
                </c:pt>
                <c:pt idx="19">
                  <c:v>5</c:v>
                </c:pt>
                <c:pt idx="20">
                  <c:v>4.9</c:v>
                </c:pt>
                <c:pt idx="21">
                  <c:v>6</c:v>
                </c:pt>
                <c:pt idx="22">
                  <c:v>4.1</c:v>
                </c:pt>
                <c:pt idx="23">
                  <c:v>5.4</c:v>
                </c:pt>
                <c:pt idx="24">
                  <c:v>4.1</c:v>
                </c:pt>
                <c:pt idx="25">
                  <c:v>4.9</c:v>
                </c:pt>
                <c:pt idx="26">
                  <c:v>4.7</c:v>
                </c:pt>
                <c:pt idx="27">
                  <c:v>4.7</c:v>
                </c:pt>
                <c:pt idx="28">
                  <c:v>3.9</c:v>
                </c:pt>
                <c:pt idx="29">
                  <c:v>4.6</c:v>
                </c:pt>
                <c:pt idx="30">
                  <c:v>5</c:v>
                </c:pt>
                <c:pt idx="31">
                  <c:v>4</c:v>
                </c:pt>
                <c:pt idx="32">
                  <c:v>4.8</c:v>
                </c:pt>
                <c:pt idx="33">
                  <c:v>5</c:v>
                </c:pt>
                <c:pt idx="34">
                  <c:v>5.1</c:v>
                </c:pt>
                <c:pt idx="35">
                  <c:v>4.9</c:v>
                </c:pt>
                <c:pt idx="36">
                  <c:v>4.5</c:v>
                </c:pt>
                <c:pt idx="37">
                  <c:v>4.7</c:v>
                </c:pt>
                <c:pt idx="38">
                  <c:v>4.8</c:v>
                </c:pt>
                <c:pt idx="39">
                  <c:v>4.3</c:v>
                </c:pt>
                <c:pt idx="40">
                  <c:v>4.5</c:v>
                </c:pt>
                <c:pt idx="41">
                  <c:v>4.7</c:v>
                </c:pt>
                <c:pt idx="42">
                  <c:v>4.9</c:v>
                </c:pt>
                <c:pt idx="43">
                  <c:v>5</c:v>
                </c:pt>
                <c:pt idx="44">
                  <c:v>4.6</c:v>
                </c:pt>
                <c:pt idx="45">
                  <c:v>4.7</c:v>
                </c:pt>
                <c:pt idx="46">
                  <c:v>5</c:v>
                </c:pt>
                <c:pt idx="47">
                  <c:v>4.2</c:v>
                </c:pt>
                <c:pt idx="48">
                  <c:v>5</c:v>
                </c:pt>
                <c:pt idx="49">
                  <c:v>4.3</c:v>
                </c:pt>
                <c:pt idx="50">
                  <c:v>4.7</c:v>
                </c:pt>
                <c:pt idx="51">
                  <c:v>5.4</c:v>
                </c:pt>
                <c:pt idx="52">
                  <c:v>4.8</c:v>
                </c:pt>
                <c:pt idx="53">
                  <c:v>4.9</c:v>
                </c:pt>
                <c:pt idx="54">
                  <c:v>5.2</c:v>
                </c:pt>
                <c:pt idx="55">
                  <c:v>4.5</c:v>
                </c:pt>
                <c:pt idx="56">
                  <c:v>4.8</c:v>
                </c:pt>
                <c:pt idx="57">
                  <c:v>4.4</c:v>
                </c:pt>
                <c:pt idx="58">
                  <c:v>4.4</c:v>
                </c:pt>
                <c:pt idx="59">
                  <c:v>4.4</c:v>
                </c:pt>
                <c:pt idx="60">
                  <c:v>4.7</c:v>
                </c:pt>
                <c:pt idx="61">
                  <c:v>4.8</c:v>
                </c:pt>
                <c:pt idx="62">
                  <c:v>4.7</c:v>
                </c:pt>
                <c:pt idx="63">
                  <c:v>4.7</c:v>
                </c:pt>
                <c:pt idx="64">
                  <c:v>4.7</c:v>
                </c:pt>
                <c:pt idx="65">
                  <c:v>4.7</c:v>
                </c:pt>
                <c:pt idx="66">
                  <c:v>4.5</c:v>
                </c:pt>
                <c:pt idx="67">
                  <c:v>4.7</c:v>
                </c:pt>
                <c:pt idx="68">
                  <c:v>4.7</c:v>
                </c:pt>
                <c:pt idx="69">
                  <c:v>4.6</c:v>
                </c:pt>
                <c:pt idx="70">
                  <c:v>4.1</c:v>
                </c:pt>
                <c:pt idx="71">
                  <c:v>3</c:v>
                </c:pt>
                <c:pt idx="72">
                  <c:v>3.5</c:v>
                </c:pt>
                <c:pt idx="73">
                  <c:v>2.5</c:v>
                </c:pt>
                <c:pt idx="74">
                  <c:v>1.7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78037"/>
        <c:axId val="92104600"/>
      </c:lineChart>
      <c:catAx>
        <c:axId val="91780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104600"/>
        <c:crosses val="autoZero"/>
        <c:auto val="1"/>
        <c:lblAlgn val="ctr"/>
        <c:lblOffset val="100"/>
        <c:noMultiLvlLbl val="0"/>
      </c:catAx>
      <c:valAx>
        <c:axId val="921046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7803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L-04: VU и RPS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ряды'!B156</c:f>
              <c:strCache>
                <c:ptCount val="1"/>
                <c:pt idx="0">
                  <c:v>VU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ряды'!$A$157:$A$259</c:f>
              <c:strCache>
                <c:ptCount val="10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</c:strCache>
            </c:strRef>
          </c:cat>
          <c:val>
            <c:numRef>
              <c:f>'Временные ряды'!$B$157:$B$259</c:f>
              <c:numCache>
                <c:formatCode>General</c:formatCode>
                <c:ptCount val="103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2</c:v>
                </c:pt>
                <c:pt idx="46">
                  <c:v>3</c:v>
                </c:pt>
                <c:pt idx="47">
                  <c:v>3</c:v>
                </c:pt>
                <c:pt idx="48">
                  <c:v>5</c:v>
                </c:pt>
                <c:pt idx="49">
                  <c:v>3</c:v>
                </c:pt>
                <c:pt idx="50">
                  <c:v>2</c:v>
                </c:pt>
                <c:pt idx="51">
                  <c:v>3</c:v>
                </c:pt>
                <c:pt idx="52">
                  <c:v>2</c:v>
                </c:pt>
                <c:pt idx="53">
                  <c:v>3</c:v>
                </c:pt>
                <c:pt idx="54">
                  <c:v>3</c:v>
                </c:pt>
                <c:pt idx="55">
                  <c:v>5</c:v>
                </c:pt>
                <c:pt idx="56">
                  <c:v>4</c:v>
                </c:pt>
                <c:pt idx="57">
                  <c:v>4</c:v>
                </c:pt>
                <c:pt idx="58">
                  <c:v>3</c:v>
                </c:pt>
                <c:pt idx="59">
                  <c:v>4</c:v>
                </c:pt>
                <c:pt idx="60">
                  <c:v>5</c:v>
                </c:pt>
                <c:pt idx="61">
                  <c:v>3</c:v>
                </c:pt>
                <c:pt idx="62">
                  <c:v>4</c:v>
                </c:pt>
                <c:pt idx="63">
                  <c:v>3</c:v>
                </c:pt>
                <c:pt idx="64">
                  <c:v>4</c:v>
                </c:pt>
                <c:pt idx="65">
                  <c:v>4</c:v>
                </c:pt>
                <c:pt idx="66">
                  <c:v>5</c:v>
                </c:pt>
                <c:pt idx="67">
                  <c:v>3</c:v>
                </c:pt>
                <c:pt idx="68">
                  <c:v>5</c:v>
                </c:pt>
                <c:pt idx="69">
                  <c:v>4</c:v>
                </c:pt>
                <c:pt idx="70">
                  <c:v>3</c:v>
                </c:pt>
                <c:pt idx="71">
                  <c:v>5</c:v>
                </c:pt>
                <c:pt idx="72">
                  <c:v>5</c:v>
                </c:pt>
                <c:pt idx="73">
                  <c:v>6</c:v>
                </c:pt>
                <c:pt idx="74">
                  <c:v>6</c:v>
                </c:pt>
                <c:pt idx="75">
                  <c:v>4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4</c:v>
                </c:pt>
                <c:pt idx="80">
                  <c:v>5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4</c:v>
                </c:pt>
                <c:pt idx="87">
                  <c:v>6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5</c:v>
                </c:pt>
                <c:pt idx="92">
                  <c:v>7</c:v>
                </c:pt>
                <c:pt idx="93">
                  <c:v>5</c:v>
                </c:pt>
                <c:pt idx="94">
                  <c:v>5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5</c:v>
                </c:pt>
                <c:pt idx="99">
                  <c:v>4</c:v>
                </c:pt>
                <c:pt idx="100">
                  <c:v>4</c:v>
                </c:pt>
                <c:pt idx="101">
                  <c:v>6</c:v>
                </c:pt>
                <c:pt idx="102">
                  <c:v>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ряды'!C156</c:f>
              <c:strCache>
                <c:ptCount val="1"/>
                <c:pt idx="0">
                  <c:v>RPS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ряды'!$A$157:$A$259</c:f>
              <c:strCache>
                <c:ptCount val="10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</c:strCache>
            </c:strRef>
          </c:cat>
          <c:val>
            <c:numRef>
              <c:f>'Временные ряды'!$C$157:$C$259</c:f>
              <c:numCache>
                <c:formatCode>General</c:formatCode>
                <c:ptCount val="103"/>
                <c:pt idx="0">
                  <c:v>27.4</c:v>
                </c:pt>
                <c:pt idx="1">
                  <c:v>37.8</c:v>
                </c:pt>
                <c:pt idx="2">
                  <c:v>40.8</c:v>
                </c:pt>
                <c:pt idx="3">
                  <c:v>50.2</c:v>
                </c:pt>
                <c:pt idx="4">
                  <c:v>55</c:v>
                </c:pt>
                <c:pt idx="5">
                  <c:v>78.2</c:v>
                </c:pt>
                <c:pt idx="6">
                  <c:v>61</c:v>
                </c:pt>
                <c:pt idx="7">
                  <c:v>61.2</c:v>
                </c:pt>
                <c:pt idx="8">
                  <c:v>61.8</c:v>
                </c:pt>
                <c:pt idx="9">
                  <c:v>64.8</c:v>
                </c:pt>
                <c:pt idx="10">
                  <c:v>60.2</c:v>
                </c:pt>
                <c:pt idx="11">
                  <c:v>80.8</c:v>
                </c:pt>
                <c:pt idx="12">
                  <c:v>62</c:v>
                </c:pt>
                <c:pt idx="13">
                  <c:v>56.6</c:v>
                </c:pt>
                <c:pt idx="14">
                  <c:v>60.8</c:v>
                </c:pt>
                <c:pt idx="15">
                  <c:v>59.8</c:v>
                </c:pt>
                <c:pt idx="16">
                  <c:v>61.6</c:v>
                </c:pt>
                <c:pt idx="17">
                  <c:v>84.8</c:v>
                </c:pt>
                <c:pt idx="18">
                  <c:v>74.2</c:v>
                </c:pt>
                <c:pt idx="19">
                  <c:v>82.8</c:v>
                </c:pt>
                <c:pt idx="20">
                  <c:v>93</c:v>
                </c:pt>
                <c:pt idx="21">
                  <c:v>104.2</c:v>
                </c:pt>
                <c:pt idx="22">
                  <c:v>116.4</c:v>
                </c:pt>
                <c:pt idx="23">
                  <c:v>164.2</c:v>
                </c:pt>
                <c:pt idx="24">
                  <c:v>121</c:v>
                </c:pt>
                <c:pt idx="25">
                  <c:v>121.2</c:v>
                </c:pt>
                <c:pt idx="26">
                  <c:v>121.6</c:v>
                </c:pt>
                <c:pt idx="27">
                  <c:v>123.6</c:v>
                </c:pt>
                <c:pt idx="28">
                  <c:v>121.2</c:v>
                </c:pt>
                <c:pt idx="29">
                  <c:v>162.2</c:v>
                </c:pt>
                <c:pt idx="30">
                  <c:v>123.8</c:v>
                </c:pt>
                <c:pt idx="31">
                  <c:v>119.4</c:v>
                </c:pt>
                <c:pt idx="32">
                  <c:v>121.4</c:v>
                </c:pt>
                <c:pt idx="33">
                  <c:v>125.2</c:v>
                </c:pt>
                <c:pt idx="34">
                  <c:v>122.6</c:v>
                </c:pt>
                <c:pt idx="35">
                  <c:v>190.6</c:v>
                </c:pt>
                <c:pt idx="36">
                  <c:v>169.6</c:v>
                </c:pt>
                <c:pt idx="37">
                  <c:v>184.4</c:v>
                </c:pt>
                <c:pt idx="38">
                  <c:v>210.2</c:v>
                </c:pt>
                <c:pt idx="39">
                  <c:v>232.4</c:v>
                </c:pt>
                <c:pt idx="40">
                  <c:v>240.6</c:v>
                </c:pt>
                <c:pt idx="41">
                  <c:v>305.8</c:v>
                </c:pt>
                <c:pt idx="42">
                  <c:v>269.6</c:v>
                </c:pt>
                <c:pt idx="43">
                  <c:v>245.2</c:v>
                </c:pt>
                <c:pt idx="44">
                  <c:v>244.8</c:v>
                </c:pt>
                <c:pt idx="45">
                  <c:v>239.2</c:v>
                </c:pt>
                <c:pt idx="46">
                  <c:v>246.4</c:v>
                </c:pt>
                <c:pt idx="47">
                  <c:v>273.6</c:v>
                </c:pt>
                <c:pt idx="48">
                  <c:v>301.6</c:v>
                </c:pt>
                <c:pt idx="49">
                  <c:v>245.6</c:v>
                </c:pt>
                <c:pt idx="50">
                  <c:v>241</c:v>
                </c:pt>
                <c:pt idx="51">
                  <c:v>243.8</c:v>
                </c:pt>
                <c:pt idx="52">
                  <c:v>261.8</c:v>
                </c:pt>
                <c:pt idx="53">
                  <c:v>283.4</c:v>
                </c:pt>
                <c:pt idx="54">
                  <c:v>416</c:v>
                </c:pt>
                <c:pt idx="55">
                  <c:v>332.2</c:v>
                </c:pt>
                <c:pt idx="56">
                  <c:v>349.2</c:v>
                </c:pt>
                <c:pt idx="57">
                  <c:v>371.2</c:v>
                </c:pt>
                <c:pt idx="58">
                  <c:v>369.4</c:v>
                </c:pt>
                <c:pt idx="59">
                  <c:v>364</c:v>
                </c:pt>
                <c:pt idx="60">
                  <c:v>485.6</c:v>
                </c:pt>
                <c:pt idx="61">
                  <c:v>367.2</c:v>
                </c:pt>
                <c:pt idx="62">
                  <c:v>367.2</c:v>
                </c:pt>
                <c:pt idx="63">
                  <c:v>365.4</c:v>
                </c:pt>
                <c:pt idx="64">
                  <c:v>370.6</c:v>
                </c:pt>
                <c:pt idx="65">
                  <c:v>366.4</c:v>
                </c:pt>
                <c:pt idx="66">
                  <c:v>497.2</c:v>
                </c:pt>
                <c:pt idx="67">
                  <c:v>367.4</c:v>
                </c:pt>
                <c:pt idx="68">
                  <c:v>366.8</c:v>
                </c:pt>
                <c:pt idx="69">
                  <c:v>397.2</c:v>
                </c:pt>
                <c:pt idx="70">
                  <c:v>424.4</c:v>
                </c:pt>
                <c:pt idx="71">
                  <c:v>458.8</c:v>
                </c:pt>
                <c:pt idx="72">
                  <c:v>666.8</c:v>
                </c:pt>
                <c:pt idx="73">
                  <c:v>527.8</c:v>
                </c:pt>
                <c:pt idx="74">
                  <c:v>553</c:v>
                </c:pt>
                <c:pt idx="75">
                  <c:v>548.8</c:v>
                </c:pt>
                <c:pt idx="76">
                  <c:v>547.2</c:v>
                </c:pt>
                <c:pt idx="77">
                  <c:v>541.8</c:v>
                </c:pt>
                <c:pt idx="78">
                  <c:v>734.6</c:v>
                </c:pt>
                <c:pt idx="79">
                  <c:v>550.8</c:v>
                </c:pt>
                <c:pt idx="80">
                  <c:v>552</c:v>
                </c:pt>
                <c:pt idx="81">
                  <c:v>548</c:v>
                </c:pt>
                <c:pt idx="82">
                  <c:v>552.6</c:v>
                </c:pt>
                <c:pt idx="83">
                  <c:v>545.2</c:v>
                </c:pt>
                <c:pt idx="84">
                  <c:v>728.6</c:v>
                </c:pt>
                <c:pt idx="85">
                  <c:v>555.6</c:v>
                </c:pt>
                <c:pt idx="86">
                  <c:v>585.4</c:v>
                </c:pt>
                <c:pt idx="87">
                  <c:v>612</c:v>
                </c:pt>
                <c:pt idx="88">
                  <c:v>637.2</c:v>
                </c:pt>
                <c:pt idx="89">
                  <c:v>672</c:v>
                </c:pt>
                <c:pt idx="90">
                  <c:v>885.2</c:v>
                </c:pt>
                <c:pt idx="91">
                  <c:v>792.2</c:v>
                </c:pt>
                <c:pt idx="92">
                  <c:v>736.6</c:v>
                </c:pt>
                <c:pt idx="93">
                  <c:v>732</c:v>
                </c:pt>
                <c:pt idx="94">
                  <c:v>731</c:v>
                </c:pt>
                <c:pt idx="95">
                  <c:v>728.4</c:v>
                </c:pt>
                <c:pt idx="96">
                  <c:v>822.2</c:v>
                </c:pt>
                <c:pt idx="97">
                  <c:v>888</c:v>
                </c:pt>
                <c:pt idx="98">
                  <c:v>736.6</c:v>
                </c:pt>
                <c:pt idx="99">
                  <c:v>732.8</c:v>
                </c:pt>
                <c:pt idx="100">
                  <c:v>732.6</c:v>
                </c:pt>
                <c:pt idx="101">
                  <c:v>741.4</c:v>
                </c:pt>
                <c:pt idx="102">
                  <c:v>632.6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100415"/>
        <c:axId val="23035070"/>
      </c:lineChart>
      <c:catAx>
        <c:axId val="911004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035070"/>
        <c:crosses val="autoZero"/>
        <c:auto val="1"/>
        <c:lblAlgn val="ctr"/>
        <c:lblOffset val="100"/>
        <c:noMultiLvlLbl val="0"/>
      </c:catAx>
      <c:valAx>
        <c:axId val="230350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1004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L-04: время отклика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ряды'!D156</c:f>
              <c:strCache>
                <c:ptCount val="1"/>
                <c:pt idx="0">
                  <c:v>p95, мс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ряды'!$A$157:$A$259</c:f>
              <c:strCache>
                <c:ptCount val="10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</c:strCache>
            </c:strRef>
          </c:cat>
          <c:val>
            <c:numRef>
              <c:f>'Временные ряды'!$D$157:$D$259</c:f>
              <c:numCache>
                <c:formatCode>General</c:formatCode>
                <c:ptCount val="103"/>
                <c:pt idx="0">
                  <c:v>18.4</c:v>
                </c:pt>
                <c:pt idx="1">
                  <c:v>18</c:v>
                </c:pt>
                <c:pt idx="2">
                  <c:v>18.1</c:v>
                </c:pt>
                <c:pt idx="3">
                  <c:v>17.5</c:v>
                </c:pt>
                <c:pt idx="4">
                  <c:v>16.8</c:v>
                </c:pt>
                <c:pt idx="5">
                  <c:v>16.2</c:v>
                </c:pt>
                <c:pt idx="6">
                  <c:v>16.2</c:v>
                </c:pt>
                <c:pt idx="7">
                  <c:v>16.4</c:v>
                </c:pt>
                <c:pt idx="8">
                  <c:v>16.9</c:v>
                </c:pt>
                <c:pt idx="9">
                  <c:v>16</c:v>
                </c:pt>
                <c:pt idx="10">
                  <c:v>16.2</c:v>
                </c:pt>
                <c:pt idx="11">
                  <c:v>16.3</c:v>
                </c:pt>
                <c:pt idx="12">
                  <c:v>15.9</c:v>
                </c:pt>
                <c:pt idx="13">
                  <c:v>15.8</c:v>
                </c:pt>
                <c:pt idx="14">
                  <c:v>16.2</c:v>
                </c:pt>
                <c:pt idx="15">
                  <c:v>15.8</c:v>
                </c:pt>
                <c:pt idx="16">
                  <c:v>16.2</c:v>
                </c:pt>
                <c:pt idx="17">
                  <c:v>16.6</c:v>
                </c:pt>
                <c:pt idx="18">
                  <c:v>16.3</c:v>
                </c:pt>
                <c:pt idx="19">
                  <c:v>15.8</c:v>
                </c:pt>
                <c:pt idx="20">
                  <c:v>15.8</c:v>
                </c:pt>
                <c:pt idx="21">
                  <c:v>16.1</c:v>
                </c:pt>
                <c:pt idx="22">
                  <c:v>15.8</c:v>
                </c:pt>
                <c:pt idx="23">
                  <c:v>15.6</c:v>
                </c:pt>
                <c:pt idx="24">
                  <c:v>16.1</c:v>
                </c:pt>
                <c:pt idx="25">
                  <c:v>15.8</c:v>
                </c:pt>
                <c:pt idx="26">
                  <c:v>15.7</c:v>
                </c:pt>
                <c:pt idx="27">
                  <c:v>15.9</c:v>
                </c:pt>
                <c:pt idx="28">
                  <c:v>15.8</c:v>
                </c:pt>
                <c:pt idx="29">
                  <c:v>16.1</c:v>
                </c:pt>
                <c:pt idx="30">
                  <c:v>15.4</c:v>
                </c:pt>
                <c:pt idx="31">
                  <c:v>15.7</c:v>
                </c:pt>
                <c:pt idx="32">
                  <c:v>15.8</c:v>
                </c:pt>
                <c:pt idx="33">
                  <c:v>15.4</c:v>
                </c:pt>
                <c:pt idx="34">
                  <c:v>15.6</c:v>
                </c:pt>
                <c:pt idx="35">
                  <c:v>15.9</c:v>
                </c:pt>
                <c:pt idx="36">
                  <c:v>15.5</c:v>
                </c:pt>
                <c:pt idx="37">
                  <c:v>15.6</c:v>
                </c:pt>
                <c:pt idx="38">
                  <c:v>15.6</c:v>
                </c:pt>
                <c:pt idx="39">
                  <c:v>15.6</c:v>
                </c:pt>
                <c:pt idx="40">
                  <c:v>15.7</c:v>
                </c:pt>
                <c:pt idx="41">
                  <c:v>15.5</c:v>
                </c:pt>
                <c:pt idx="42">
                  <c:v>15.7</c:v>
                </c:pt>
                <c:pt idx="43">
                  <c:v>15.5</c:v>
                </c:pt>
                <c:pt idx="44">
                  <c:v>15.1</c:v>
                </c:pt>
                <c:pt idx="45">
                  <c:v>12.3</c:v>
                </c:pt>
                <c:pt idx="46">
                  <c:v>15.2</c:v>
                </c:pt>
                <c:pt idx="47">
                  <c:v>15.4</c:v>
                </c:pt>
                <c:pt idx="48">
                  <c:v>15.6</c:v>
                </c:pt>
                <c:pt idx="49">
                  <c:v>15.4</c:v>
                </c:pt>
                <c:pt idx="50">
                  <c:v>15.5</c:v>
                </c:pt>
                <c:pt idx="51">
                  <c:v>15.5</c:v>
                </c:pt>
                <c:pt idx="52">
                  <c:v>15.6</c:v>
                </c:pt>
                <c:pt idx="53">
                  <c:v>15.7</c:v>
                </c:pt>
                <c:pt idx="54">
                  <c:v>15.4</c:v>
                </c:pt>
                <c:pt idx="55">
                  <c:v>15.5</c:v>
                </c:pt>
                <c:pt idx="56">
                  <c:v>15.4</c:v>
                </c:pt>
                <c:pt idx="57">
                  <c:v>15.3</c:v>
                </c:pt>
                <c:pt idx="58">
                  <c:v>15.6</c:v>
                </c:pt>
                <c:pt idx="59">
                  <c:v>15.6</c:v>
                </c:pt>
                <c:pt idx="60">
                  <c:v>15.4</c:v>
                </c:pt>
                <c:pt idx="61">
                  <c:v>15.5</c:v>
                </c:pt>
                <c:pt idx="62">
                  <c:v>15.6</c:v>
                </c:pt>
                <c:pt idx="63">
                  <c:v>15.6</c:v>
                </c:pt>
                <c:pt idx="64">
                  <c:v>15.6</c:v>
                </c:pt>
                <c:pt idx="65">
                  <c:v>15.5</c:v>
                </c:pt>
                <c:pt idx="66">
                  <c:v>15.4</c:v>
                </c:pt>
                <c:pt idx="67">
                  <c:v>15.3</c:v>
                </c:pt>
                <c:pt idx="68">
                  <c:v>15.4</c:v>
                </c:pt>
                <c:pt idx="69">
                  <c:v>15.4</c:v>
                </c:pt>
                <c:pt idx="70">
                  <c:v>15.4</c:v>
                </c:pt>
                <c:pt idx="71">
                  <c:v>15.6</c:v>
                </c:pt>
                <c:pt idx="72">
                  <c:v>15.3</c:v>
                </c:pt>
                <c:pt idx="73">
                  <c:v>15.1</c:v>
                </c:pt>
                <c:pt idx="74">
                  <c:v>15.3</c:v>
                </c:pt>
                <c:pt idx="75">
                  <c:v>15</c:v>
                </c:pt>
                <c:pt idx="76">
                  <c:v>15.1</c:v>
                </c:pt>
                <c:pt idx="77">
                  <c:v>14.8</c:v>
                </c:pt>
                <c:pt idx="78">
                  <c:v>15</c:v>
                </c:pt>
                <c:pt idx="79">
                  <c:v>14.6</c:v>
                </c:pt>
                <c:pt idx="80">
                  <c:v>15.3</c:v>
                </c:pt>
                <c:pt idx="81">
                  <c:v>15.4</c:v>
                </c:pt>
                <c:pt idx="82">
                  <c:v>15.3</c:v>
                </c:pt>
                <c:pt idx="83">
                  <c:v>15.2</c:v>
                </c:pt>
                <c:pt idx="84">
                  <c:v>14.8</c:v>
                </c:pt>
                <c:pt idx="85">
                  <c:v>15.4</c:v>
                </c:pt>
                <c:pt idx="86">
                  <c:v>15.2</c:v>
                </c:pt>
                <c:pt idx="87">
                  <c:v>14.1</c:v>
                </c:pt>
                <c:pt idx="88">
                  <c:v>13.4</c:v>
                </c:pt>
                <c:pt idx="89">
                  <c:v>12.7</c:v>
                </c:pt>
                <c:pt idx="90">
                  <c:v>12.4</c:v>
                </c:pt>
                <c:pt idx="91">
                  <c:v>12.7</c:v>
                </c:pt>
                <c:pt idx="92">
                  <c:v>12.9</c:v>
                </c:pt>
                <c:pt idx="93">
                  <c:v>12</c:v>
                </c:pt>
                <c:pt idx="94">
                  <c:v>11.9</c:v>
                </c:pt>
                <c:pt idx="95">
                  <c:v>12.3</c:v>
                </c:pt>
                <c:pt idx="96">
                  <c:v>12</c:v>
                </c:pt>
                <c:pt idx="97">
                  <c:v>12.3</c:v>
                </c:pt>
                <c:pt idx="98">
                  <c:v>12.6</c:v>
                </c:pt>
                <c:pt idx="99">
                  <c:v>13.2</c:v>
                </c:pt>
                <c:pt idx="100">
                  <c:v>12.7</c:v>
                </c:pt>
                <c:pt idx="101">
                  <c:v>11.4</c:v>
                </c:pt>
                <c:pt idx="102">
                  <c:v>12.5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ряды'!E156</c:f>
              <c:strCache>
                <c:ptCount val="1"/>
                <c:pt idx="0">
                  <c:v>Avg, мс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ряды'!$A$157:$A$259</c:f>
              <c:strCache>
                <c:ptCount val="10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</c:strCache>
            </c:strRef>
          </c:cat>
          <c:val>
            <c:numRef>
              <c:f>'Временные ряды'!$E$157:$E$259</c:f>
              <c:numCache>
                <c:formatCode>General</c:formatCode>
                <c:ptCount val="103"/>
                <c:pt idx="0">
                  <c:v>8.8</c:v>
                </c:pt>
                <c:pt idx="1">
                  <c:v>8.2</c:v>
                </c:pt>
                <c:pt idx="2">
                  <c:v>8.6</c:v>
                </c:pt>
                <c:pt idx="3">
                  <c:v>8.2</c:v>
                </c:pt>
                <c:pt idx="4">
                  <c:v>7.9</c:v>
                </c:pt>
                <c:pt idx="5">
                  <c:v>7.7</c:v>
                </c:pt>
                <c:pt idx="6">
                  <c:v>7.4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7.4</c:v>
                </c:pt>
                <c:pt idx="11">
                  <c:v>7.3</c:v>
                </c:pt>
                <c:pt idx="12">
                  <c:v>7.3</c:v>
                </c:pt>
                <c:pt idx="13">
                  <c:v>7.3</c:v>
                </c:pt>
                <c:pt idx="14">
                  <c:v>7.4</c:v>
                </c:pt>
                <c:pt idx="15">
                  <c:v>7.4</c:v>
                </c:pt>
                <c:pt idx="16">
                  <c:v>7.7</c:v>
                </c:pt>
                <c:pt idx="17">
                  <c:v>7.4</c:v>
                </c:pt>
                <c:pt idx="18">
                  <c:v>7.3</c:v>
                </c:pt>
                <c:pt idx="19">
                  <c:v>7.3</c:v>
                </c:pt>
                <c:pt idx="20">
                  <c:v>7.5</c:v>
                </c:pt>
                <c:pt idx="21">
                  <c:v>7.3</c:v>
                </c:pt>
                <c:pt idx="22">
                  <c:v>7.2</c:v>
                </c:pt>
                <c:pt idx="23">
                  <c:v>7</c:v>
                </c:pt>
                <c:pt idx="24">
                  <c:v>7.3</c:v>
                </c:pt>
                <c:pt idx="25">
                  <c:v>7.2</c:v>
                </c:pt>
                <c:pt idx="26">
                  <c:v>7.1</c:v>
                </c:pt>
                <c:pt idx="27">
                  <c:v>7.3</c:v>
                </c:pt>
                <c:pt idx="28">
                  <c:v>6.8</c:v>
                </c:pt>
                <c:pt idx="29">
                  <c:v>7.4</c:v>
                </c:pt>
                <c:pt idx="30">
                  <c:v>7</c:v>
                </c:pt>
                <c:pt idx="31">
                  <c:v>7</c:v>
                </c:pt>
                <c:pt idx="32">
                  <c:v>7.3</c:v>
                </c:pt>
                <c:pt idx="33">
                  <c:v>7</c:v>
                </c:pt>
                <c:pt idx="34">
                  <c:v>6.9</c:v>
                </c:pt>
                <c:pt idx="35">
                  <c:v>7.2</c:v>
                </c:pt>
                <c:pt idx="36">
                  <c:v>7.2</c:v>
                </c:pt>
                <c:pt idx="37">
                  <c:v>7.1</c:v>
                </c:pt>
                <c:pt idx="38">
                  <c:v>6.8</c:v>
                </c:pt>
                <c:pt idx="39">
                  <c:v>6.9</c:v>
                </c:pt>
                <c:pt idx="40">
                  <c:v>6.9</c:v>
                </c:pt>
                <c:pt idx="41">
                  <c:v>6.9</c:v>
                </c:pt>
                <c:pt idx="42">
                  <c:v>7.1</c:v>
                </c:pt>
                <c:pt idx="43">
                  <c:v>7</c:v>
                </c:pt>
                <c:pt idx="44">
                  <c:v>6.5</c:v>
                </c:pt>
                <c:pt idx="45">
                  <c:v>5.5</c:v>
                </c:pt>
                <c:pt idx="46">
                  <c:v>6.5</c:v>
                </c:pt>
                <c:pt idx="47">
                  <c:v>6.7</c:v>
                </c:pt>
                <c:pt idx="48">
                  <c:v>6.9</c:v>
                </c:pt>
                <c:pt idx="49">
                  <c:v>6.9</c:v>
                </c:pt>
                <c:pt idx="50">
                  <c:v>6.9</c:v>
                </c:pt>
                <c:pt idx="51">
                  <c:v>6.9</c:v>
                </c:pt>
                <c:pt idx="52">
                  <c:v>6.9</c:v>
                </c:pt>
                <c:pt idx="53">
                  <c:v>6.9</c:v>
                </c:pt>
                <c:pt idx="54">
                  <c:v>6.7</c:v>
                </c:pt>
                <c:pt idx="55">
                  <c:v>6.9</c:v>
                </c:pt>
                <c:pt idx="56">
                  <c:v>6.7</c:v>
                </c:pt>
                <c:pt idx="57">
                  <c:v>6.6</c:v>
                </c:pt>
                <c:pt idx="58">
                  <c:v>6.9</c:v>
                </c:pt>
                <c:pt idx="59">
                  <c:v>6.9</c:v>
                </c:pt>
                <c:pt idx="60">
                  <c:v>6.8</c:v>
                </c:pt>
                <c:pt idx="61">
                  <c:v>6.9</c:v>
                </c:pt>
                <c:pt idx="62">
                  <c:v>7</c:v>
                </c:pt>
                <c:pt idx="63">
                  <c:v>6.8</c:v>
                </c:pt>
                <c:pt idx="64">
                  <c:v>6.7</c:v>
                </c:pt>
                <c:pt idx="65">
                  <c:v>6.7</c:v>
                </c:pt>
                <c:pt idx="66">
                  <c:v>6.9</c:v>
                </c:pt>
                <c:pt idx="67">
                  <c:v>6.8</c:v>
                </c:pt>
                <c:pt idx="68">
                  <c:v>6.8</c:v>
                </c:pt>
                <c:pt idx="69">
                  <c:v>6.8</c:v>
                </c:pt>
                <c:pt idx="70">
                  <c:v>6.8</c:v>
                </c:pt>
                <c:pt idx="71">
                  <c:v>7</c:v>
                </c:pt>
                <c:pt idx="72">
                  <c:v>6.9</c:v>
                </c:pt>
                <c:pt idx="73">
                  <c:v>6.5</c:v>
                </c:pt>
                <c:pt idx="74">
                  <c:v>6.6</c:v>
                </c:pt>
                <c:pt idx="75">
                  <c:v>6.3</c:v>
                </c:pt>
                <c:pt idx="76">
                  <c:v>6.6</c:v>
                </c:pt>
                <c:pt idx="77">
                  <c:v>6.4</c:v>
                </c:pt>
                <c:pt idx="78">
                  <c:v>6.6</c:v>
                </c:pt>
                <c:pt idx="79">
                  <c:v>6.2</c:v>
                </c:pt>
                <c:pt idx="80">
                  <c:v>6.7</c:v>
                </c:pt>
                <c:pt idx="81">
                  <c:v>6.9</c:v>
                </c:pt>
                <c:pt idx="82">
                  <c:v>6.8</c:v>
                </c:pt>
                <c:pt idx="83">
                  <c:v>6.6</c:v>
                </c:pt>
                <c:pt idx="84">
                  <c:v>6.3</c:v>
                </c:pt>
                <c:pt idx="85">
                  <c:v>6.8</c:v>
                </c:pt>
                <c:pt idx="86">
                  <c:v>6.6</c:v>
                </c:pt>
                <c:pt idx="87">
                  <c:v>6.1</c:v>
                </c:pt>
                <c:pt idx="88">
                  <c:v>5.9</c:v>
                </c:pt>
                <c:pt idx="89">
                  <c:v>5.6</c:v>
                </c:pt>
                <c:pt idx="90">
                  <c:v>5.4</c:v>
                </c:pt>
                <c:pt idx="91">
                  <c:v>5.5</c:v>
                </c:pt>
                <c:pt idx="92">
                  <c:v>5.6</c:v>
                </c:pt>
                <c:pt idx="93">
                  <c:v>5.2</c:v>
                </c:pt>
                <c:pt idx="94">
                  <c:v>5.3</c:v>
                </c:pt>
                <c:pt idx="95">
                  <c:v>5.3</c:v>
                </c:pt>
                <c:pt idx="96">
                  <c:v>5.2</c:v>
                </c:pt>
                <c:pt idx="97">
                  <c:v>5.4</c:v>
                </c:pt>
                <c:pt idx="98">
                  <c:v>5.5</c:v>
                </c:pt>
                <c:pt idx="99">
                  <c:v>5.7</c:v>
                </c:pt>
                <c:pt idx="100">
                  <c:v>5.4</c:v>
                </c:pt>
                <c:pt idx="101">
                  <c:v>5.1</c:v>
                </c:pt>
                <c:pt idx="102">
                  <c:v>5.5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692194"/>
        <c:axId val="78800813"/>
      </c:lineChart>
      <c:catAx>
        <c:axId val="976921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800813"/>
        <c:crosses val="autoZero"/>
        <c:auto val="1"/>
        <c:lblAlgn val="ctr"/>
        <c:lblOffset val="100"/>
        <c:noMultiLvlLbl val="0"/>
      </c:catAx>
      <c:valAx>
        <c:axId val="788008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69219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L-04: CPU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ряды'!G156</c:f>
              <c:strCache>
                <c:ptCount val="1"/>
                <c:pt idx="0">
                  <c:v>CPU java, %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ряды'!$A$157:$A$259</c:f>
              <c:strCache>
                <c:ptCount val="10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</c:strCache>
            </c:strRef>
          </c:cat>
          <c:val>
            <c:numRef>
              <c:f>'Временные ряды'!$G$157:$G$259</c:f>
              <c:numCache>
                <c:formatCode>General</c:formatCode>
                <c:ptCount val="103"/>
                <c:pt idx="0">
                  <c:v>17</c:v>
                </c:pt>
                <c:pt idx="1">
                  <c:v>14.3</c:v>
                </c:pt>
                <c:pt idx="2">
                  <c:v>16.1</c:v>
                </c:pt>
                <c:pt idx="3">
                  <c:v>20.1</c:v>
                </c:pt>
                <c:pt idx="4">
                  <c:v>11</c:v>
                </c:pt>
                <c:pt idx="5">
                  <c:v>19.2</c:v>
                </c:pt>
                <c:pt idx="6">
                  <c:v>20.5</c:v>
                </c:pt>
                <c:pt idx="7">
                  <c:v>20.3</c:v>
                </c:pt>
                <c:pt idx="8">
                  <c:v>20.4</c:v>
                </c:pt>
                <c:pt idx="9">
                  <c:v>19.9</c:v>
                </c:pt>
                <c:pt idx="10">
                  <c:v>19.2</c:v>
                </c:pt>
                <c:pt idx="11">
                  <c:v>11.9</c:v>
                </c:pt>
                <c:pt idx="12">
                  <c:v>19.3</c:v>
                </c:pt>
                <c:pt idx="13">
                  <c:v>18.1</c:v>
                </c:pt>
                <c:pt idx="14">
                  <c:v>19.1</c:v>
                </c:pt>
                <c:pt idx="15">
                  <c:v>19.3</c:v>
                </c:pt>
                <c:pt idx="16">
                  <c:v>20.2</c:v>
                </c:pt>
                <c:pt idx="17">
                  <c:v>10.8</c:v>
                </c:pt>
                <c:pt idx="18">
                  <c:v>22.6</c:v>
                </c:pt>
                <c:pt idx="19">
                  <c:v>26</c:v>
                </c:pt>
                <c:pt idx="20">
                  <c:v>29.3</c:v>
                </c:pt>
                <c:pt idx="21">
                  <c:v>32.9</c:v>
                </c:pt>
                <c:pt idx="22">
                  <c:v>34.1</c:v>
                </c:pt>
                <c:pt idx="23">
                  <c:v>21.1</c:v>
                </c:pt>
                <c:pt idx="24">
                  <c:v>36.4</c:v>
                </c:pt>
                <c:pt idx="25">
                  <c:v>36.3</c:v>
                </c:pt>
                <c:pt idx="26">
                  <c:v>36.6</c:v>
                </c:pt>
                <c:pt idx="27">
                  <c:v>37</c:v>
                </c:pt>
                <c:pt idx="28">
                  <c:v>34.6</c:v>
                </c:pt>
                <c:pt idx="29">
                  <c:v>20.1</c:v>
                </c:pt>
                <c:pt idx="30">
                  <c:v>35.8</c:v>
                </c:pt>
                <c:pt idx="31">
                  <c:v>34.8</c:v>
                </c:pt>
                <c:pt idx="32">
                  <c:v>36.6</c:v>
                </c:pt>
                <c:pt idx="33">
                  <c:v>36</c:v>
                </c:pt>
                <c:pt idx="34">
                  <c:v>36</c:v>
                </c:pt>
                <c:pt idx="35">
                  <c:v>26.7</c:v>
                </c:pt>
                <c:pt idx="36">
                  <c:v>51.7</c:v>
                </c:pt>
                <c:pt idx="37">
                  <c:v>54.7</c:v>
                </c:pt>
                <c:pt idx="38">
                  <c:v>59.8</c:v>
                </c:pt>
                <c:pt idx="39">
                  <c:v>66.3</c:v>
                </c:pt>
                <c:pt idx="40">
                  <c:v>68.8</c:v>
                </c:pt>
                <c:pt idx="41">
                  <c:v>46.2</c:v>
                </c:pt>
                <c:pt idx="42">
                  <c:v>70.8</c:v>
                </c:pt>
                <c:pt idx="43">
                  <c:v>72.7</c:v>
                </c:pt>
                <c:pt idx="44">
                  <c:v>71.1</c:v>
                </c:pt>
                <c:pt idx="45">
                  <c:v>59.5</c:v>
                </c:pt>
                <c:pt idx="46">
                  <c:v>66.6</c:v>
                </c:pt>
                <c:pt idx="47">
                  <c:v>42.7</c:v>
                </c:pt>
                <c:pt idx="48">
                  <c:v>71</c:v>
                </c:pt>
                <c:pt idx="49">
                  <c:v>71.2</c:v>
                </c:pt>
                <c:pt idx="50">
                  <c:v>68.3</c:v>
                </c:pt>
                <c:pt idx="51">
                  <c:v>69.2</c:v>
                </c:pt>
                <c:pt idx="52">
                  <c:v>74.6</c:v>
                </c:pt>
                <c:pt idx="53">
                  <c:v>46.9</c:v>
                </c:pt>
                <c:pt idx="54">
                  <c:v>88.5</c:v>
                </c:pt>
                <c:pt idx="55">
                  <c:v>95.1</c:v>
                </c:pt>
                <c:pt idx="56">
                  <c:v>97.5</c:v>
                </c:pt>
                <c:pt idx="57">
                  <c:v>104.7</c:v>
                </c:pt>
                <c:pt idx="58">
                  <c:v>104.9</c:v>
                </c:pt>
                <c:pt idx="59">
                  <c:v>105.7</c:v>
                </c:pt>
                <c:pt idx="60">
                  <c:v>67.5</c:v>
                </c:pt>
                <c:pt idx="61">
                  <c:v>105.2</c:v>
                </c:pt>
                <c:pt idx="62">
                  <c:v>106.1</c:v>
                </c:pt>
                <c:pt idx="63">
                  <c:v>103.6</c:v>
                </c:pt>
                <c:pt idx="64">
                  <c:v>102.9</c:v>
                </c:pt>
                <c:pt idx="65">
                  <c:v>103.5</c:v>
                </c:pt>
                <c:pt idx="66">
                  <c:v>60.7</c:v>
                </c:pt>
                <c:pt idx="67">
                  <c:v>104.1</c:v>
                </c:pt>
                <c:pt idx="68">
                  <c:v>102.6</c:v>
                </c:pt>
                <c:pt idx="69">
                  <c:v>112.6</c:v>
                </c:pt>
                <c:pt idx="70">
                  <c:v>121.9</c:v>
                </c:pt>
                <c:pt idx="71">
                  <c:v>131.4</c:v>
                </c:pt>
                <c:pt idx="72">
                  <c:v>84</c:v>
                </c:pt>
                <c:pt idx="73">
                  <c:v>145.9</c:v>
                </c:pt>
                <c:pt idx="74">
                  <c:v>167</c:v>
                </c:pt>
                <c:pt idx="75">
                  <c:v>144.7</c:v>
                </c:pt>
                <c:pt idx="76">
                  <c:v>153.5</c:v>
                </c:pt>
                <c:pt idx="77">
                  <c:v>144.9</c:v>
                </c:pt>
                <c:pt idx="78">
                  <c:v>86.6</c:v>
                </c:pt>
                <c:pt idx="79">
                  <c:v>144.9</c:v>
                </c:pt>
                <c:pt idx="80">
                  <c:v>153</c:v>
                </c:pt>
                <c:pt idx="81">
                  <c:v>155.3</c:v>
                </c:pt>
                <c:pt idx="82">
                  <c:v>155.2</c:v>
                </c:pt>
                <c:pt idx="83">
                  <c:v>149.5</c:v>
                </c:pt>
                <c:pt idx="84">
                  <c:v>92.2</c:v>
                </c:pt>
                <c:pt idx="85">
                  <c:v>157.1</c:v>
                </c:pt>
                <c:pt idx="86">
                  <c:v>161.7</c:v>
                </c:pt>
                <c:pt idx="87">
                  <c:v>155.5</c:v>
                </c:pt>
                <c:pt idx="88">
                  <c:v>156.7</c:v>
                </c:pt>
                <c:pt idx="89">
                  <c:v>158.8</c:v>
                </c:pt>
                <c:pt idx="90">
                  <c:v>100.8</c:v>
                </c:pt>
                <c:pt idx="91">
                  <c:v>168.2</c:v>
                </c:pt>
                <c:pt idx="92">
                  <c:v>169</c:v>
                </c:pt>
                <c:pt idx="93">
                  <c:v>160.7</c:v>
                </c:pt>
                <c:pt idx="94">
                  <c:v>160.9</c:v>
                </c:pt>
                <c:pt idx="95">
                  <c:v>166.4</c:v>
                </c:pt>
                <c:pt idx="96">
                  <c:v>99.2</c:v>
                </c:pt>
                <c:pt idx="97">
                  <c:v>163.9</c:v>
                </c:pt>
                <c:pt idx="98">
                  <c:v>166.9</c:v>
                </c:pt>
                <c:pt idx="99">
                  <c:v>168.5</c:v>
                </c:pt>
                <c:pt idx="100">
                  <c:v>167.5</c:v>
                </c:pt>
                <c:pt idx="101">
                  <c:v>159.8</c:v>
                </c:pt>
                <c:pt idx="102">
                  <c:v>139.1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ряды'!H156</c:f>
              <c:strCache>
                <c:ptCount val="1"/>
                <c:pt idx="0">
                  <c:v>CPU mysqld, %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ряды'!$A$157:$A$259</c:f>
              <c:strCache>
                <c:ptCount val="10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</c:strCache>
            </c:strRef>
          </c:cat>
          <c:val>
            <c:numRef>
              <c:f>'Временные ряды'!$H$157:$H$259</c:f>
              <c:numCache>
                <c:formatCode>General</c:formatCode>
                <c:ptCount val="103"/>
                <c:pt idx="0">
                  <c:v>15.6</c:v>
                </c:pt>
                <c:pt idx="1">
                  <c:v>14.7</c:v>
                </c:pt>
                <c:pt idx="2">
                  <c:v>17.1</c:v>
                </c:pt>
                <c:pt idx="3">
                  <c:v>19.6</c:v>
                </c:pt>
                <c:pt idx="4">
                  <c:v>11.7</c:v>
                </c:pt>
                <c:pt idx="5">
                  <c:v>21.9</c:v>
                </c:pt>
                <c:pt idx="6">
                  <c:v>22</c:v>
                </c:pt>
                <c:pt idx="7">
                  <c:v>22.4</c:v>
                </c:pt>
                <c:pt idx="8">
                  <c:v>23</c:v>
                </c:pt>
                <c:pt idx="9">
                  <c:v>23.6</c:v>
                </c:pt>
                <c:pt idx="10">
                  <c:v>22.2</c:v>
                </c:pt>
                <c:pt idx="11">
                  <c:v>13.3</c:v>
                </c:pt>
                <c:pt idx="12">
                  <c:v>21.5</c:v>
                </c:pt>
                <c:pt idx="13">
                  <c:v>21.1</c:v>
                </c:pt>
                <c:pt idx="14">
                  <c:v>21.6</c:v>
                </c:pt>
                <c:pt idx="15">
                  <c:v>21.8</c:v>
                </c:pt>
                <c:pt idx="16">
                  <c:v>23.2</c:v>
                </c:pt>
                <c:pt idx="17">
                  <c:v>12</c:v>
                </c:pt>
                <c:pt idx="18">
                  <c:v>26.4</c:v>
                </c:pt>
                <c:pt idx="19">
                  <c:v>30.9</c:v>
                </c:pt>
                <c:pt idx="20">
                  <c:v>34.8</c:v>
                </c:pt>
                <c:pt idx="21">
                  <c:v>38.5</c:v>
                </c:pt>
                <c:pt idx="22">
                  <c:v>41.2</c:v>
                </c:pt>
                <c:pt idx="23">
                  <c:v>24.3</c:v>
                </c:pt>
                <c:pt idx="24">
                  <c:v>43.5</c:v>
                </c:pt>
                <c:pt idx="25">
                  <c:v>43.4</c:v>
                </c:pt>
                <c:pt idx="26">
                  <c:v>43.1</c:v>
                </c:pt>
                <c:pt idx="27">
                  <c:v>44.5</c:v>
                </c:pt>
                <c:pt idx="28">
                  <c:v>40.3</c:v>
                </c:pt>
                <c:pt idx="29">
                  <c:v>22.8</c:v>
                </c:pt>
                <c:pt idx="30">
                  <c:v>42.1</c:v>
                </c:pt>
                <c:pt idx="31">
                  <c:v>41.3</c:v>
                </c:pt>
                <c:pt idx="32">
                  <c:v>43.7</c:v>
                </c:pt>
                <c:pt idx="33">
                  <c:v>42.3</c:v>
                </c:pt>
                <c:pt idx="34">
                  <c:v>42.2</c:v>
                </c:pt>
                <c:pt idx="35">
                  <c:v>32.7</c:v>
                </c:pt>
                <c:pt idx="36">
                  <c:v>62</c:v>
                </c:pt>
                <c:pt idx="37">
                  <c:v>65.9</c:v>
                </c:pt>
                <c:pt idx="38">
                  <c:v>70.5</c:v>
                </c:pt>
                <c:pt idx="39">
                  <c:v>80.6</c:v>
                </c:pt>
                <c:pt idx="40">
                  <c:v>83.6</c:v>
                </c:pt>
                <c:pt idx="41">
                  <c:v>56.6</c:v>
                </c:pt>
                <c:pt idx="42">
                  <c:v>86.5</c:v>
                </c:pt>
                <c:pt idx="43">
                  <c:v>87.9</c:v>
                </c:pt>
                <c:pt idx="44">
                  <c:v>76.2</c:v>
                </c:pt>
                <c:pt idx="45">
                  <c:v>63</c:v>
                </c:pt>
                <c:pt idx="46">
                  <c:v>81.2</c:v>
                </c:pt>
                <c:pt idx="47">
                  <c:v>50.9</c:v>
                </c:pt>
                <c:pt idx="48">
                  <c:v>87.1</c:v>
                </c:pt>
                <c:pt idx="49">
                  <c:v>86.3</c:v>
                </c:pt>
                <c:pt idx="50">
                  <c:v>83</c:v>
                </c:pt>
                <c:pt idx="51">
                  <c:v>84</c:v>
                </c:pt>
                <c:pt idx="52">
                  <c:v>90.9</c:v>
                </c:pt>
                <c:pt idx="53">
                  <c:v>58.1</c:v>
                </c:pt>
                <c:pt idx="54">
                  <c:v>106.7</c:v>
                </c:pt>
                <c:pt idx="55">
                  <c:v>116.6</c:v>
                </c:pt>
                <c:pt idx="56">
                  <c:v>118.4</c:v>
                </c:pt>
                <c:pt idx="57">
                  <c:v>127.5</c:v>
                </c:pt>
                <c:pt idx="58">
                  <c:v>127.7</c:v>
                </c:pt>
                <c:pt idx="59">
                  <c:v>130.2</c:v>
                </c:pt>
                <c:pt idx="60">
                  <c:v>82.7</c:v>
                </c:pt>
                <c:pt idx="61">
                  <c:v>128.6</c:v>
                </c:pt>
                <c:pt idx="62">
                  <c:v>130.7</c:v>
                </c:pt>
                <c:pt idx="63">
                  <c:v>126.4</c:v>
                </c:pt>
                <c:pt idx="64">
                  <c:v>124.6</c:v>
                </c:pt>
                <c:pt idx="65">
                  <c:v>125.9</c:v>
                </c:pt>
                <c:pt idx="66">
                  <c:v>75.2</c:v>
                </c:pt>
                <c:pt idx="67">
                  <c:v>127.7</c:v>
                </c:pt>
                <c:pt idx="68">
                  <c:v>127.3</c:v>
                </c:pt>
                <c:pt idx="69">
                  <c:v>138.1</c:v>
                </c:pt>
                <c:pt idx="70">
                  <c:v>151.7</c:v>
                </c:pt>
                <c:pt idx="71">
                  <c:v>162.3</c:v>
                </c:pt>
                <c:pt idx="72">
                  <c:v>103.7</c:v>
                </c:pt>
                <c:pt idx="73">
                  <c:v>178.7</c:v>
                </c:pt>
                <c:pt idx="74">
                  <c:v>185.5</c:v>
                </c:pt>
                <c:pt idx="75">
                  <c:v>176.9</c:v>
                </c:pt>
                <c:pt idx="76">
                  <c:v>185</c:v>
                </c:pt>
                <c:pt idx="77">
                  <c:v>180.5</c:v>
                </c:pt>
                <c:pt idx="78">
                  <c:v>106.6</c:v>
                </c:pt>
                <c:pt idx="79">
                  <c:v>176.9</c:v>
                </c:pt>
                <c:pt idx="80">
                  <c:v>189.7</c:v>
                </c:pt>
                <c:pt idx="81">
                  <c:v>194.6</c:v>
                </c:pt>
                <c:pt idx="82">
                  <c:v>192.3</c:v>
                </c:pt>
                <c:pt idx="83">
                  <c:v>184.5</c:v>
                </c:pt>
                <c:pt idx="84">
                  <c:v>112.5</c:v>
                </c:pt>
                <c:pt idx="85">
                  <c:v>195.2</c:v>
                </c:pt>
                <c:pt idx="86">
                  <c:v>200</c:v>
                </c:pt>
                <c:pt idx="87">
                  <c:v>193.5</c:v>
                </c:pt>
                <c:pt idx="88">
                  <c:v>194.5</c:v>
                </c:pt>
                <c:pt idx="89">
                  <c:v>195.1</c:v>
                </c:pt>
                <c:pt idx="90">
                  <c:v>125.1</c:v>
                </c:pt>
                <c:pt idx="91">
                  <c:v>207</c:v>
                </c:pt>
                <c:pt idx="92">
                  <c:v>207</c:v>
                </c:pt>
                <c:pt idx="93">
                  <c:v>198.7</c:v>
                </c:pt>
                <c:pt idx="94">
                  <c:v>201.5</c:v>
                </c:pt>
                <c:pt idx="95">
                  <c:v>198.7</c:v>
                </c:pt>
                <c:pt idx="96">
                  <c:v>124</c:v>
                </c:pt>
                <c:pt idx="97">
                  <c:v>202.2</c:v>
                </c:pt>
                <c:pt idx="98">
                  <c:v>205.1</c:v>
                </c:pt>
                <c:pt idx="99">
                  <c:v>209.5</c:v>
                </c:pt>
                <c:pt idx="100">
                  <c:v>208.3</c:v>
                </c:pt>
                <c:pt idx="101">
                  <c:v>198.2</c:v>
                </c:pt>
                <c:pt idx="102">
                  <c:v>172.3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'Временные ряды'!I156</c:f>
              <c:strCache>
                <c:ptCount val="1"/>
                <c:pt idx="0">
                  <c:v>CPU машины, 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ряды'!$A$157:$A$259</c:f>
              <c:strCache>
                <c:ptCount val="10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</c:strCache>
            </c:strRef>
          </c:cat>
          <c:val>
            <c:numRef>
              <c:f>'Временные ряды'!$I$157:$I$259</c:f>
              <c:numCache>
                <c:formatCode>General</c:formatCode>
                <c:ptCount val="103"/>
                <c:pt idx="0">
                  <c:v>3.8</c:v>
                </c:pt>
                <c:pt idx="1">
                  <c:v>2.6</c:v>
                </c:pt>
                <c:pt idx="2">
                  <c:v>2.9</c:v>
                </c:pt>
                <c:pt idx="3">
                  <c:v>3</c:v>
                </c:pt>
                <c:pt idx="4">
                  <c:v>3.3</c:v>
                </c:pt>
                <c:pt idx="5">
                  <c:v>3.4</c:v>
                </c:pt>
                <c:pt idx="6">
                  <c:v>3.8</c:v>
                </c:pt>
                <c:pt idx="7">
                  <c:v>3.9</c:v>
                </c:pt>
                <c:pt idx="8">
                  <c:v>3.8</c:v>
                </c:pt>
                <c:pt idx="9">
                  <c:v>3.7</c:v>
                </c:pt>
                <c:pt idx="10">
                  <c:v>3.5</c:v>
                </c:pt>
                <c:pt idx="11">
                  <c:v>3.4</c:v>
                </c:pt>
                <c:pt idx="12">
                  <c:v>3.6</c:v>
                </c:pt>
                <c:pt idx="13">
                  <c:v>3.5</c:v>
                </c:pt>
                <c:pt idx="14">
                  <c:v>3.7</c:v>
                </c:pt>
                <c:pt idx="15">
                  <c:v>3.7</c:v>
                </c:pt>
                <c:pt idx="16">
                  <c:v>3.8</c:v>
                </c:pt>
                <c:pt idx="17">
                  <c:v>3.6</c:v>
                </c:pt>
                <c:pt idx="18">
                  <c:v>3.9</c:v>
                </c:pt>
                <c:pt idx="19">
                  <c:v>4.5</c:v>
                </c:pt>
                <c:pt idx="20">
                  <c:v>4.9</c:v>
                </c:pt>
                <c:pt idx="21">
                  <c:v>5.6</c:v>
                </c:pt>
                <c:pt idx="22">
                  <c:v>5.9</c:v>
                </c:pt>
                <c:pt idx="23">
                  <c:v>6.4</c:v>
                </c:pt>
                <c:pt idx="24">
                  <c:v>6.2</c:v>
                </c:pt>
                <c:pt idx="25">
                  <c:v>6.4</c:v>
                </c:pt>
                <c:pt idx="26">
                  <c:v>6.8</c:v>
                </c:pt>
                <c:pt idx="27">
                  <c:v>6.3</c:v>
                </c:pt>
                <c:pt idx="28">
                  <c:v>5.8</c:v>
                </c:pt>
                <c:pt idx="29">
                  <c:v>6.7</c:v>
                </c:pt>
                <c:pt idx="30">
                  <c:v>6.3</c:v>
                </c:pt>
                <c:pt idx="31">
                  <c:v>6</c:v>
                </c:pt>
                <c:pt idx="32">
                  <c:v>6.2</c:v>
                </c:pt>
                <c:pt idx="33">
                  <c:v>6.6</c:v>
                </c:pt>
                <c:pt idx="34">
                  <c:v>6.3</c:v>
                </c:pt>
                <c:pt idx="35">
                  <c:v>7.2</c:v>
                </c:pt>
                <c:pt idx="36">
                  <c:v>8.7</c:v>
                </c:pt>
                <c:pt idx="37">
                  <c:v>9.5</c:v>
                </c:pt>
                <c:pt idx="38">
                  <c:v>10.2</c:v>
                </c:pt>
                <c:pt idx="39">
                  <c:v>11.4</c:v>
                </c:pt>
                <c:pt idx="40">
                  <c:v>11.6</c:v>
                </c:pt>
                <c:pt idx="41">
                  <c:v>11.8</c:v>
                </c:pt>
                <c:pt idx="42">
                  <c:v>11.8</c:v>
                </c:pt>
                <c:pt idx="43">
                  <c:v>12.3</c:v>
                </c:pt>
                <c:pt idx="44">
                  <c:v>11.9</c:v>
                </c:pt>
                <c:pt idx="45">
                  <c:v>9.4</c:v>
                </c:pt>
                <c:pt idx="46">
                  <c:v>11.3</c:v>
                </c:pt>
                <c:pt idx="47">
                  <c:v>11.9</c:v>
                </c:pt>
                <c:pt idx="48">
                  <c:v>12.5</c:v>
                </c:pt>
                <c:pt idx="49">
                  <c:v>11.8</c:v>
                </c:pt>
                <c:pt idx="50">
                  <c:v>12.1</c:v>
                </c:pt>
                <c:pt idx="51">
                  <c:v>11.8</c:v>
                </c:pt>
                <c:pt idx="52">
                  <c:v>13.1</c:v>
                </c:pt>
                <c:pt idx="53">
                  <c:v>14</c:v>
                </c:pt>
                <c:pt idx="54">
                  <c:v>15.5</c:v>
                </c:pt>
                <c:pt idx="55">
                  <c:v>16.4</c:v>
                </c:pt>
                <c:pt idx="56">
                  <c:v>16.7</c:v>
                </c:pt>
                <c:pt idx="57">
                  <c:v>18.2</c:v>
                </c:pt>
                <c:pt idx="58">
                  <c:v>18.2</c:v>
                </c:pt>
                <c:pt idx="59">
                  <c:v>18.1</c:v>
                </c:pt>
                <c:pt idx="60">
                  <c:v>17.8</c:v>
                </c:pt>
                <c:pt idx="61">
                  <c:v>18</c:v>
                </c:pt>
                <c:pt idx="62">
                  <c:v>18.4</c:v>
                </c:pt>
                <c:pt idx="63">
                  <c:v>18.2</c:v>
                </c:pt>
                <c:pt idx="64">
                  <c:v>17.4</c:v>
                </c:pt>
                <c:pt idx="65">
                  <c:v>18</c:v>
                </c:pt>
                <c:pt idx="66">
                  <c:v>18.3</c:v>
                </c:pt>
                <c:pt idx="67">
                  <c:v>18.2</c:v>
                </c:pt>
                <c:pt idx="68">
                  <c:v>18.4</c:v>
                </c:pt>
                <c:pt idx="69">
                  <c:v>19.5</c:v>
                </c:pt>
                <c:pt idx="70">
                  <c:v>21.4</c:v>
                </c:pt>
                <c:pt idx="71">
                  <c:v>22.8</c:v>
                </c:pt>
                <c:pt idx="72">
                  <c:v>24.6</c:v>
                </c:pt>
                <c:pt idx="73">
                  <c:v>25.2</c:v>
                </c:pt>
                <c:pt idx="74">
                  <c:v>27.5</c:v>
                </c:pt>
                <c:pt idx="75">
                  <c:v>25.1</c:v>
                </c:pt>
                <c:pt idx="76">
                  <c:v>25.9</c:v>
                </c:pt>
                <c:pt idx="77">
                  <c:v>24.9</c:v>
                </c:pt>
                <c:pt idx="78">
                  <c:v>26.1</c:v>
                </c:pt>
                <c:pt idx="79">
                  <c:v>24.9</c:v>
                </c:pt>
                <c:pt idx="80">
                  <c:v>26.5</c:v>
                </c:pt>
                <c:pt idx="81">
                  <c:v>26.8</c:v>
                </c:pt>
                <c:pt idx="82">
                  <c:v>27.1</c:v>
                </c:pt>
                <c:pt idx="83">
                  <c:v>25.8</c:v>
                </c:pt>
                <c:pt idx="84">
                  <c:v>25.4</c:v>
                </c:pt>
                <c:pt idx="85">
                  <c:v>27.1</c:v>
                </c:pt>
                <c:pt idx="86">
                  <c:v>28</c:v>
                </c:pt>
                <c:pt idx="87">
                  <c:v>27</c:v>
                </c:pt>
                <c:pt idx="88">
                  <c:v>27.2</c:v>
                </c:pt>
                <c:pt idx="89">
                  <c:v>27.2</c:v>
                </c:pt>
                <c:pt idx="90">
                  <c:v>27.9</c:v>
                </c:pt>
                <c:pt idx="91">
                  <c:v>29</c:v>
                </c:pt>
                <c:pt idx="92">
                  <c:v>29.2</c:v>
                </c:pt>
                <c:pt idx="93">
                  <c:v>28</c:v>
                </c:pt>
                <c:pt idx="94">
                  <c:v>27.7</c:v>
                </c:pt>
                <c:pt idx="95">
                  <c:v>28.6</c:v>
                </c:pt>
                <c:pt idx="96">
                  <c:v>28.3</c:v>
                </c:pt>
                <c:pt idx="97">
                  <c:v>28.1</c:v>
                </c:pt>
                <c:pt idx="98">
                  <c:v>28.7</c:v>
                </c:pt>
                <c:pt idx="99">
                  <c:v>29.3</c:v>
                </c:pt>
                <c:pt idx="100">
                  <c:v>28.9</c:v>
                </c:pt>
                <c:pt idx="101">
                  <c:v>27.8</c:v>
                </c:pt>
                <c:pt idx="102">
                  <c:v>24.6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199486"/>
        <c:axId val="22757219"/>
      </c:lineChart>
      <c:catAx>
        <c:axId val="581994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757219"/>
        <c:crosses val="autoZero"/>
        <c:auto val="1"/>
        <c:lblAlgn val="ctr"/>
        <c:lblOffset val="100"/>
        <c:noMultiLvlLbl val="0"/>
      </c:catAx>
      <c:valAx>
        <c:axId val="227572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19948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L-04b: VU и RPS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ряды'!B263</c:f>
              <c:strCache>
                <c:ptCount val="1"/>
                <c:pt idx="0">
                  <c:v>VU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ряды'!$A$264:$A$350</c:f>
              <c:strCache>
                <c:ptCount val="8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</c:strCache>
            </c:strRef>
          </c:cat>
          <c:val>
            <c:numRef>
              <c:f>'Временные ряды'!$B$264:$B$350</c:f>
              <c:numCache>
                <c:formatCode>General</c:formatCode>
                <c:ptCount val="87"/>
                <c:pt idx="0">
                  <c:v>8</c:v>
                </c:pt>
                <c:pt idx="1">
                  <c:v>10</c:v>
                </c:pt>
                <c:pt idx="2">
                  <c:v>5</c:v>
                </c:pt>
                <c:pt idx="3">
                  <c:v>9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10</c:v>
                </c:pt>
                <c:pt idx="11">
                  <c:v>9</c:v>
                </c:pt>
                <c:pt idx="12">
                  <c:v>8</c:v>
                </c:pt>
                <c:pt idx="13">
                  <c:v>9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10</c:v>
                </c:pt>
                <c:pt idx="18">
                  <c:v>7</c:v>
                </c:pt>
                <c:pt idx="19">
                  <c:v>487</c:v>
                </c:pt>
                <c:pt idx="20">
                  <c:v>533</c:v>
                </c:pt>
                <c:pt idx="21">
                  <c:v>1020</c:v>
                </c:pt>
                <c:pt idx="22">
                  <c:v>1987</c:v>
                </c:pt>
                <c:pt idx="23">
                  <c:v>2798</c:v>
                </c:pt>
                <c:pt idx="24">
                  <c:v>3000</c:v>
                </c:pt>
                <c:pt idx="25">
                  <c:v>3000</c:v>
                </c:pt>
                <c:pt idx="26">
                  <c:v>2999</c:v>
                </c:pt>
                <c:pt idx="27">
                  <c:v>3000</c:v>
                </c:pt>
                <c:pt idx="28">
                  <c:v>3000</c:v>
                </c:pt>
                <c:pt idx="29">
                  <c:v>3000</c:v>
                </c:pt>
                <c:pt idx="30">
                  <c:v>3000</c:v>
                </c:pt>
                <c:pt idx="31">
                  <c:v>3000</c:v>
                </c:pt>
                <c:pt idx="32">
                  <c:v>3000</c:v>
                </c:pt>
                <c:pt idx="33">
                  <c:v>3000</c:v>
                </c:pt>
                <c:pt idx="34">
                  <c:v>3000</c:v>
                </c:pt>
                <c:pt idx="35">
                  <c:v>3000</c:v>
                </c:pt>
                <c:pt idx="36">
                  <c:v>3000</c:v>
                </c:pt>
                <c:pt idx="37">
                  <c:v>2999</c:v>
                </c:pt>
                <c:pt idx="38">
                  <c:v>3000</c:v>
                </c:pt>
                <c:pt idx="39">
                  <c:v>3000</c:v>
                </c:pt>
                <c:pt idx="40">
                  <c:v>3000</c:v>
                </c:pt>
                <c:pt idx="41">
                  <c:v>3000</c:v>
                </c:pt>
                <c:pt idx="42">
                  <c:v>3000</c:v>
                </c:pt>
                <c:pt idx="43">
                  <c:v>3000</c:v>
                </c:pt>
                <c:pt idx="44">
                  <c:v>3000</c:v>
                </c:pt>
                <c:pt idx="45">
                  <c:v>3000</c:v>
                </c:pt>
                <c:pt idx="46">
                  <c:v>3000</c:v>
                </c:pt>
                <c:pt idx="47">
                  <c:v>3000</c:v>
                </c:pt>
                <c:pt idx="48">
                  <c:v>3000</c:v>
                </c:pt>
                <c:pt idx="49">
                  <c:v>3000</c:v>
                </c:pt>
                <c:pt idx="50">
                  <c:v>3000</c:v>
                </c:pt>
                <c:pt idx="51">
                  <c:v>3000</c:v>
                </c:pt>
                <c:pt idx="52">
                  <c:v>3000</c:v>
                </c:pt>
                <c:pt idx="53">
                  <c:v>3000</c:v>
                </c:pt>
                <c:pt idx="54">
                  <c:v>3000</c:v>
                </c:pt>
                <c:pt idx="55">
                  <c:v>3000</c:v>
                </c:pt>
                <c:pt idx="56">
                  <c:v>3000</c:v>
                </c:pt>
                <c:pt idx="57">
                  <c:v>3000</c:v>
                </c:pt>
                <c:pt idx="58">
                  <c:v>3000</c:v>
                </c:pt>
                <c:pt idx="59">
                  <c:v>3000</c:v>
                </c:pt>
                <c:pt idx="60">
                  <c:v>3000</c:v>
                </c:pt>
                <c:pt idx="61">
                  <c:v>3000</c:v>
                </c:pt>
                <c:pt idx="62">
                  <c:v>3000</c:v>
                </c:pt>
                <c:pt idx="63">
                  <c:v>3000</c:v>
                </c:pt>
                <c:pt idx="64">
                  <c:v>3000</c:v>
                </c:pt>
                <c:pt idx="65">
                  <c:v>3000</c:v>
                </c:pt>
                <c:pt idx="66">
                  <c:v>3000</c:v>
                </c:pt>
                <c:pt idx="67">
                  <c:v>2999</c:v>
                </c:pt>
                <c:pt idx="68">
                  <c:v>3000</c:v>
                </c:pt>
                <c:pt idx="69">
                  <c:v>3000</c:v>
                </c:pt>
                <c:pt idx="70">
                  <c:v>3000</c:v>
                </c:pt>
                <c:pt idx="71">
                  <c:v>3000</c:v>
                </c:pt>
                <c:pt idx="72">
                  <c:v>3000</c:v>
                </c:pt>
                <c:pt idx="73">
                  <c:v>3000</c:v>
                </c:pt>
                <c:pt idx="74">
                  <c:v>3000</c:v>
                </c:pt>
                <c:pt idx="75">
                  <c:v>3000</c:v>
                </c:pt>
                <c:pt idx="76">
                  <c:v>3000</c:v>
                </c:pt>
                <c:pt idx="77">
                  <c:v>3000</c:v>
                </c:pt>
                <c:pt idx="78">
                  <c:v>3000</c:v>
                </c:pt>
                <c:pt idx="79">
                  <c:v>3000</c:v>
                </c:pt>
                <c:pt idx="80">
                  <c:v>3000</c:v>
                </c:pt>
                <c:pt idx="81">
                  <c:v>3000</c:v>
                </c:pt>
                <c:pt idx="82">
                  <c:v>3000</c:v>
                </c:pt>
                <c:pt idx="83">
                  <c:v>3000</c:v>
                </c:pt>
                <c:pt idx="84">
                  <c:v>3000</c:v>
                </c:pt>
                <c:pt idx="85">
                  <c:v>3000</c:v>
                </c:pt>
                <c:pt idx="86">
                  <c:v>3000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ряды'!C263</c:f>
              <c:strCache>
                <c:ptCount val="1"/>
                <c:pt idx="0">
                  <c:v>RPS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ряды'!$A$264:$A$350</c:f>
              <c:strCache>
                <c:ptCount val="8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</c:strCache>
            </c:strRef>
          </c:cat>
          <c:val>
            <c:numRef>
              <c:f>'Временные ряды'!$C$264:$C$350</c:f>
              <c:numCache>
                <c:formatCode>General</c:formatCode>
                <c:ptCount val="87"/>
                <c:pt idx="0">
                  <c:v>692.6</c:v>
                </c:pt>
                <c:pt idx="1">
                  <c:v>844.2</c:v>
                </c:pt>
                <c:pt idx="2">
                  <c:v>927.8</c:v>
                </c:pt>
                <c:pt idx="3">
                  <c:v>1315.2</c:v>
                </c:pt>
                <c:pt idx="4">
                  <c:v>1113.6</c:v>
                </c:pt>
                <c:pt idx="5">
                  <c:v>1201.8</c:v>
                </c:pt>
                <c:pt idx="6">
                  <c:v>1228.4</c:v>
                </c:pt>
                <c:pt idx="7">
                  <c:v>1222.2</c:v>
                </c:pt>
                <c:pt idx="8">
                  <c:v>1214.2</c:v>
                </c:pt>
                <c:pt idx="9">
                  <c:v>1531</c:v>
                </c:pt>
                <c:pt idx="10">
                  <c:v>1257</c:v>
                </c:pt>
                <c:pt idx="11">
                  <c:v>1222.6</c:v>
                </c:pt>
                <c:pt idx="12">
                  <c:v>1226.6</c:v>
                </c:pt>
                <c:pt idx="13">
                  <c:v>1224.6</c:v>
                </c:pt>
                <c:pt idx="14">
                  <c:v>1223.6</c:v>
                </c:pt>
                <c:pt idx="15">
                  <c:v>1325.6</c:v>
                </c:pt>
                <c:pt idx="16">
                  <c:v>1460.8</c:v>
                </c:pt>
                <c:pt idx="17">
                  <c:v>1266.4</c:v>
                </c:pt>
                <c:pt idx="18">
                  <c:v>1343</c:v>
                </c:pt>
                <c:pt idx="19">
                  <c:v>1297.2</c:v>
                </c:pt>
                <c:pt idx="20">
                  <c:v>1646</c:v>
                </c:pt>
                <c:pt idx="21">
                  <c:v>1198</c:v>
                </c:pt>
                <c:pt idx="22">
                  <c:v>1404.8</c:v>
                </c:pt>
                <c:pt idx="23">
                  <c:v>1111.8</c:v>
                </c:pt>
                <c:pt idx="24">
                  <c:v>1064.8</c:v>
                </c:pt>
                <c:pt idx="25">
                  <c:v>1120.4</c:v>
                </c:pt>
                <c:pt idx="26">
                  <c:v>1140.4</c:v>
                </c:pt>
                <c:pt idx="27">
                  <c:v>1081</c:v>
                </c:pt>
                <c:pt idx="28">
                  <c:v>1484.2</c:v>
                </c:pt>
                <c:pt idx="29">
                  <c:v>1132</c:v>
                </c:pt>
                <c:pt idx="30">
                  <c:v>1128.2</c:v>
                </c:pt>
                <c:pt idx="31">
                  <c:v>1119.4</c:v>
                </c:pt>
                <c:pt idx="32">
                  <c:v>1120.6</c:v>
                </c:pt>
                <c:pt idx="33">
                  <c:v>1155</c:v>
                </c:pt>
                <c:pt idx="34">
                  <c:v>1389.8</c:v>
                </c:pt>
                <c:pt idx="35">
                  <c:v>1086.4</c:v>
                </c:pt>
                <c:pt idx="36">
                  <c:v>1158.8</c:v>
                </c:pt>
                <c:pt idx="37">
                  <c:v>1147.2</c:v>
                </c:pt>
                <c:pt idx="38">
                  <c:v>1110.8</c:v>
                </c:pt>
                <c:pt idx="39">
                  <c:v>1145</c:v>
                </c:pt>
                <c:pt idx="40">
                  <c:v>1459.8</c:v>
                </c:pt>
                <c:pt idx="41">
                  <c:v>1119</c:v>
                </c:pt>
                <c:pt idx="42">
                  <c:v>1142</c:v>
                </c:pt>
                <c:pt idx="43">
                  <c:v>1125.4</c:v>
                </c:pt>
                <c:pt idx="44">
                  <c:v>1156</c:v>
                </c:pt>
                <c:pt idx="45">
                  <c:v>1113.6</c:v>
                </c:pt>
                <c:pt idx="46">
                  <c:v>1316.6</c:v>
                </c:pt>
                <c:pt idx="47">
                  <c:v>1254.2</c:v>
                </c:pt>
                <c:pt idx="48">
                  <c:v>1126.8</c:v>
                </c:pt>
                <c:pt idx="49">
                  <c:v>1113.6</c:v>
                </c:pt>
                <c:pt idx="50">
                  <c:v>1160.6</c:v>
                </c:pt>
                <c:pt idx="51">
                  <c:v>1100.2</c:v>
                </c:pt>
                <c:pt idx="52">
                  <c:v>1293.4</c:v>
                </c:pt>
                <c:pt idx="53">
                  <c:v>1658</c:v>
                </c:pt>
                <c:pt idx="54">
                  <c:v>1107.6</c:v>
                </c:pt>
                <c:pt idx="55">
                  <c:v>1130</c:v>
                </c:pt>
                <c:pt idx="56">
                  <c:v>1100.6</c:v>
                </c:pt>
                <c:pt idx="57">
                  <c:v>1105.8</c:v>
                </c:pt>
                <c:pt idx="58">
                  <c:v>1874</c:v>
                </c:pt>
                <c:pt idx="59">
                  <c:v>2496.4</c:v>
                </c:pt>
                <c:pt idx="60">
                  <c:v>1391</c:v>
                </c:pt>
                <c:pt idx="61">
                  <c:v>1236.4</c:v>
                </c:pt>
                <c:pt idx="62">
                  <c:v>1341.8</c:v>
                </c:pt>
                <c:pt idx="63">
                  <c:v>1418.4</c:v>
                </c:pt>
                <c:pt idx="64">
                  <c:v>1314.8</c:v>
                </c:pt>
                <c:pt idx="65">
                  <c:v>1691.8</c:v>
                </c:pt>
                <c:pt idx="66">
                  <c:v>1350.2</c:v>
                </c:pt>
                <c:pt idx="67">
                  <c:v>1400.4</c:v>
                </c:pt>
                <c:pt idx="68">
                  <c:v>1343</c:v>
                </c:pt>
                <c:pt idx="69">
                  <c:v>1324.4</c:v>
                </c:pt>
                <c:pt idx="70">
                  <c:v>1335.6</c:v>
                </c:pt>
                <c:pt idx="71">
                  <c:v>1698.4</c:v>
                </c:pt>
                <c:pt idx="72">
                  <c:v>1312.4</c:v>
                </c:pt>
                <c:pt idx="73">
                  <c:v>1329.4</c:v>
                </c:pt>
                <c:pt idx="74">
                  <c:v>1313.8</c:v>
                </c:pt>
                <c:pt idx="75">
                  <c:v>1308.2</c:v>
                </c:pt>
                <c:pt idx="76">
                  <c:v>1360.4</c:v>
                </c:pt>
                <c:pt idx="77">
                  <c:v>1714</c:v>
                </c:pt>
                <c:pt idx="78">
                  <c:v>1462.8</c:v>
                </c:pt>
                <c:pt idx="79">
                  <c:v>1470</c:v>
                </c:pt>
                <c:pt idx="80">
                  <c:v>1407.2</c:v>
                </c:pt>
                <c:pt idx="81">
                  <c:v>1437</c:v>
                </c:pt>
                <c:pt idx="82">
                  <c:v>1358.2</c:v>
                </c:pt>
                <c:pt idx="83">
                  <c:v>1426.2</c:v>
                </c:pt>
                <c:pt idx="84">
                  <c:v>1808</c:v>
                </c:pt>
                <c:pt idx="85">
                  <c:v>1438.8</c:v>
                </c:pt>
                <c:pt idx="86">
                  <c:v>1110.8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7314297"/>
        <c:axId val="53937451"/>
      </c:lineChart>
      <c:catAx>
        <c:axId val="873142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937451"/>
        <c:crosses val="autoZero"/>
        <c:auto val="1"/>
        <c:lblAlgn val="ctr"/>
        <c:lblOffset val="100"/>
        <c:noMultiLvlLbl val="0"/>
      </c:catAx>
      <c:valAx>
        <c:axId val="539374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31429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L-04b: время отклика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ряды'!D263</c:f>
              <c:strCache>
                <c:ptCount val="1"/>
                <c:pt idx="0">
                  <c:v>p95, мс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ряды'!$A$264:$A$350</c:f>
              <c:strCache>
                <c:ptCount val="8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</c:strCache>
            </c:strRef>
          </c:cat>
          <c:val>
            <c:numRef>
              <c:f>'Временные ряды'!$D$264:$D$350</c:f>
              <c:numCache>
                <c:formatCode>General</c:formatCode>
                <c:ptCount val="87"/>
                <c:pt idx="0">
                  <c:v>16.7</c:v>
                </c:pt>
                <c:pt idx="1">
                  <c:v>15.9</c:v>
                </c:pt>
                <c:pt idx="2">
                  <c:v>12</c:v>
                </c:pt>
                <c:pt idx="3">
                  <c:v>11.7</c:v>
                </c:pt>
                <c:pt idx="4">
                  <c:v>11.7</c:v>
                </c:pt>
                <c:pt idx="5">
                  <c:v>11.9</c:v>
                </c:pt>
                <c:pt idx="6">
                  <c:v>11.8</c:v>
                </c:pt>
                <c:pt idx="7">
                  <c:v>11.5</c:v>
                </c:pt>
                <c:pt idx="8">
                  <c:v>11.8</c:v>
                </c:pt>
                <c:pt idx="9">
                  <c:v>11.6</c:v>
                </c:pt>
                <c:pt idx="10">
                  <c:v>11.5</c:v>
                </c:pt>
                <c:pt idx="11">
                  <c:v>12</c:v>
                </c:pt>
                <c:pt idx="12">
                  <c:v>11.8</c:v>
                </c:pt>
                <c:pt idx="13">
                  <c:v>11.8</c:v>
                </c:pt>
                <c:pt idx="14">
                  <c:v>11.9</c:v>
                </c:pt>
                <c:pt idx="15">
                  <c:v>11.4</c:v>
                </c:pt>
                <c:pt idx="16">
                  <c:v>11.6</c:v>
                </c:pt>
                <c:pt idx="17">
                  <c:v>11.8</c:v>
                </c:pt>
                <c:pt idx="18">
                  <c:v>11.8</c:v>
                </c:pt>
                <c:pt idx="19">
                  <c:v>459.3</c:v>
                </c:pt>
                <c:pt idx="20">
                  <c:v>521.8</c:v>
                </c:pt>
                <c:pt idx="21">
                  <c:v>917</c:v>
                </c:pt>
                <c:pt idx="22">
                  <c:v>1779.8</c:v>
                </c:pt>
                <c:pt idx="23">
                  <c:v>2457.1</c:v>
                </c:pt>
                <c:pt idx="24">
                  <c:v>3156.5</c:v>
                </c:pt>
                <c:pt idx="25">
                  <c:v>3100.4</c:v>
                </c:pt>
                <c:pt idx="26">
                  <c:v>3114.7</c:v>
                </c:pt>
                <c:pt idx="27">
                  <c:v>3157.2</c:v>
                </c:pt>
                <c:pt idx="28">
                  <c:v>2904.5</c:v>
                </c:pt>
                <c:pt idx="29">
                  <c:v>3067.5</c:v>
                </c:pt>
                <c:pt idx="30">
                  <c:v>3035.6</c:v>
                </c:pt>
                <c:pt idx="31">
                  <c:v>3120.5</c:v>
                </c:pt>
                <c:pt idx="32">
                  <c:v>3080.7</c:v>
                </c:pt>
                <c:pt idx="33">
                  <c:v>2956</c:v>
                </c:pt>
                <c:pt idx="34">
                  <c:v>3078.7</c:v>
                </c:pt>
                <c:pt idx="35">
                  <c:v>3110.5</c:v>
                </c:pt>
                <c:pt idx="36">
                  <c:v>3029.1</c:v>
                </c:pt>
                <c:pt idx="37">
                  <c:v>3132.4</c:v>
                </c:pt>
                <c:pt idx="38">
                  <c:v>3054.9</c:v>
                </c:pt>
                <c:pt idx="39">
                  <c:v>3068.4</c:v>
                </c:pt>
                <c:pt idx="40">
                  <c:v>3056.1</c:v>
                </c:pt>
                <c:pt idx="41">
                  <c:v>2992.7</c:v>
                </c:pt>
                <c:pt idx="42">
                  <c:v>3060.6</c:v>
                </c:pt>
                <c:pt idx="43">
                  <c:v>2999.5</c:v>
                </c:pt>
                <c:pt idx="44">
                  <c:v>3038.4</c:v>
                </c:pt>
                <c:pt idx="45">
                  <c:v>3138.9</c:v>
                </c:pt>
                <c:pt idx="46">
                  <c:v>3030.4</c:v>
                </c:pt>
                <c:pt idx="47">
                  <c:v>2911.9</c:v>
                </c:pt>
                <c:pt idx="48">
                  <c:v>3109.1</c:v>
                </c:pt>
                <c:pt idx="49">
                  <c:v>3061.8</c:v>
                </c:pt>
                <c:pt idx="50">
                  <c:v>3055</c:v>
                </c:pt>
                <c:pt idx="51">
                  <c:v>3068.2</c:v>
                </c:pt>
                <c:pt idx="52">
                  <c:v>3003.6</c:v>
                </c:pt>
                <c:pt idx="53">
                  <c:v>3075.5</c:v>
                </c:pt>
                <c:pt idx="54">
                  <c:v>3070.2</c:v>
                </c:pt>
                <c:pt idx="55">
                  <c:v>3101.8</c:v>
                </c:pt>
                <c:pt idx="56">
                  <c:v>3123.1</c:v>
                </c:pt>
                <c:pt idx="57">
                  <c:v>3029</c:v>
                </c:pt>
                <c:pt idx="58">
                  <c:v>3164.6</c:v>
                </c:pt>
                <c:pt idx="59">
                  <c:v>1729</c:v>
                </c:pt>
                <c:pt idx="60">
                  <c:v>2392.2</c:v>
                </c:pt>
                <c:pt idx="61">
                  <c:v>2879.4</c:v>
                </c:pt>
                <c:pt idx="62">
                  <c:v>2556</c:v>
                </c:pt>
                <c:pt idx="63">
                  <c:v>2609.5</c:v>
                </c:pt>
                <c:pt idx="64">
                  <c:v>2668.3</c:v>
                </c:pt>
                <c:pt idx="65">
                  <c:v>2519.2</c:v>
                </c:pt>
                <c:pt idx="66">
                  <c:v>2625.6</c:v>
                </c:pt>
                <c:pt idx="67">
                  <c:v>2480.6</c:v>
                </c:pt>
                <c:pt idx="68">
                  <c:v>2524.9</c:v>
                </c:pt>
                <c:pt idx="69">
                  <c:v>2646.3</c:v>
                </c:pt>
                <c:pt idx="70">
                  <c:v>2589.2</c:v>
                </c:pt>
                <c:pt idx="71">
                  <c:v>2626.3</c:v>
                </c:pt>
                <c:pt idx="72">
                  <c:v>2644.5</c:v>
                </c:pt>
                <c:pt idx="73">
                  <c:v>2635.8</c:v>
                </c:pt>
                <c:pt idx="74">
                  <c:v>2673.4</c:v>
                </c:pt>
                <c:pt idx="75">
                  <c:v>2642</c:v>
                </c:pt>
                <c:pt idx="76">
                  <c:v>2578.3</c:v>
                </c:pt>
                <c:pt idx="77">
                  <c:v>2591.7</c:v>
                </c:pt>
                <c:pt idx="78">
                  <c:v>2346.7</c:v>
                </c:pt>
                <c:pt idx="79">
                  <c:v>2413.2</c:v>
                </c:pt>
                <c:pt idx="80">
                  <c:v>2444.6</c:v>
                </c:pt>
                <c:pt idx="81">
                  <c:v>2381.9</c:v>
                </c:pt>
                <c:pt idx="82">
                  <c:v>2554.4</c:v>
                </c:pt>
                <c:pt idx="83">
                  <c:v>2633.8</c:v>
                </c:pt>
                <c:pt idx="84">
                  <c:v>2491.8</c:v>
                </c:pt>
                <c:pt idx="85">
                  <c:v>2420.5</c:v>
                </c:pt>
                <c:pt idx="86">
                  <c:v>2312.6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ряды'!E263</c:f>
              <c:strCache>
                <c:ptCount val="1"/>
                <c:pt idx="0">
                  <c:v>Avg, мс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ряды'!$A$264:$A$350</c:f>
              <c:strCache>
                <c:ptCount val="8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</c:strCache>
            </c:strRef>
          </c:cat>
          <c:val>
            <c:numRef>
              <c:f>'Временные ряды'!$E$264:$E$350</c:f>
              <c:numCache>
                <c:formatCode>General</c:formatCode>
                <c:ptCount val="87"/>
                <c:pt idx="0">
                  <c:v>7.5</c:v>
                </c:pt>
                <c:pt idx="1">
                  <c:v>7</c:v>
                </c:pt>
                <c:pt idx="2">
                  <c:v>5.4</c:v>
                </c:pt>
                <c:pt idx="3">
                  <c:v>5.2</c:v>
                </c:pt>
                <c:pt idx="4">
                  <c:v>5.2</c:v>
                </c:pt>
                <c:pt idx="5">
                  <c:v>5.2</c:v>
                </c:pt>
                <c:pt idx="6">
                  <c:v>5.2</c:v>
                </c:pt>
                <c:pt idx="7">
                  <c:v>5.1</c:v>
                </c:pt>
                <c:pt idx="8">
                  <c:v>5.2</c:v>
                </c:pt>
                <c:pt idx="9">
                  <c:v>5.1</c:v>
                </c:pt>
                <c:pt idx="10">
                  <c:v>5</c:v>
                </c:pt>
                <c:pt idx="11">
                  <c:v>5.4</c:v>
                </c:pt>
                <c:pt idx="12">
                  <c:v>5.2</c:v>
                </c:pt>
                <c:pt idx="13">
                  <c:v>5.2</c:v>
                </c:pt>
                <c:pt idx="14">
                  <c:v>5.3</c:v>
                </c:pt>
                <c:pt idx="15">
                  <c:v>5</c:v>
                </c:pt>
                <c:pt idx="16">
                  <c:v>5.1</c:v>
                </c:pt>
                <c:pt idx="17">
                  <c:v>5.3</c:v>
                </c:pt>
                <c:pt idx="18">
                  <c:v>5.2</c:v>
                </c:pt>
                <c:pt idx="19">
                  <c:v>145</c:v>
                </c:pt>
                <c:pt idx="20">
                  <c:v>151.6</c:v>
                </c:pt>
                <c:pt idx="21">
                  <c:v>386.8</c:v>
                </c:pt>
                <c:pt idx="22">
                  <c:v>981.4</c:v>
                </c:pt>
                <c:pt idx="23">
                  <c:v>1926.5</c:v>
                </c:pt>
                <c:pt idx="24">
                  <c:v>2616.2</c:v>
                </c:pt>
                <c:pt idx="25">
                  <c:v>2671</c:v>
                </c:pt>
                <c:pt idx="26">
                  <c:v>2688.8</c:v>
                </c:pt>
                <c:pt idx="27">
                  <c:v>2750.7</c:v>
                </c:pt>
                <c:pt idx="28">
                  <c:v>2010.5</c:v>
                </c:pt>
                <c:pt idx="29">
                  <c:v>2673.5</c:v>
                </c:pt>
                <c:pt idx="30">
                  <c:v>2626.4</c:v>
                </c:pt>
                <c:pt idx="31">
                  <c:v>2706.6</c:v>
                </c:pt>
                <c:pt idx="32">
                  <c:v>2676.4</c:v>
                </c:pt>
                <c:pt idx="33">
                  <c:v>2571.7</c:v>
                </c:pt>
                <c:pt idx="34">
                  <c:v>2213.4</c:v>
                </c:pt>
                <c:pt idx="35">
                  <c:v>2674.7</c:v>
                </c:pt>
                <c:pt idx="36">
                  <c:v>2582.8</c:v>
                </c:pt>
                <c:pt idx="37">
                  <c:v>2690.2</c:v>
                </c:pt>
                <c:pt idx="38">
                  <c:v>2612.1</c:v>
                </c:pt>
                <c:pt idx="39">
                  <c:v>2647</c:v>
                </c:pt>
                <c:pt idx="40">
                  <c:v>2268.6</c:v>
                </c:pt>
                <c:pt idx="41">
                  <c:v>2390.5</c:v>
                </c:pt>
                <c:pt idx="42">
                  <c:v>2689</c:v>
                </c:pt>
                <c:pt idx="43">
                  <c:v>2587.8</c:v>
                </c:pt>
                <c:pt idx="44">
                  <c:v>2623.7</c:v>
                </c:pt>
                <c:pt idx="45">
                  <c:v>2715.1</c:v>
                </c:pt>
                <c:pt idx="46">
                  <c:v>2458.6</c:v>
                </c:pt>
                <c:pt idx="47">
                  <c:v>2195.3</c:v>
                </c:pt>
                <c:pt idx="48">
                  <c:v>2661.3</c:v>
                </c:pt>
                <c:pt idx="49">
                  <c:v>2650.3</c:v>
                </c:pt>
                <c:pt idx="50">
                  <c:v>2637</c:v>
                </c:pt>
                <c:pt idx="51">
                  <c:v>2684.2</c:v>
                </c:pt>
                <c:pt idx="52">
                  <c:v>2504.8</c:v>
                </c:pt>
                <c:pt idx="53">
                  <c:v>1675.6</c:v>
                </c:pt>
                <c:pt idx="54">
                  <c:v>2665.5</c:v>
                </c:pt>
                <c:pt idx="55">
                  <c:v>2695.6</c:v>
                </c:pt>
                <c:pt idx="56">
                  <c:v>2729.5</c:v>
                </c:pt>
                <c:pt idx="57">
                  <c:v>2613.4</c:v>
                </c:pt>
                <c:pt idx="58">
                  <c:v>1853.8</c:v>
                </c:pt>
                <c:pt idx="59">
                  <c:v>1154.4</c:v>
                </c:pt>
                <c:pt idx="60">
                  <c:v>2025.2</c:v>
                </c:pt>
                <c:pt idx="61">
                  <c:v>2483.3</c:v>
                </c:pt>
                <c:pt idx="62">
                  <c:v>2179.6</c:v>
                </c:pt>
                <c:pt idx="63">
                  <c:v>2155</c:v>
                </c:pt>
                <c:pt idx="64">
                  <c:v>2287</c:v>
                </c:pt>
                <c:pt idx="65">
                  <c:v>1758.8</c:v>
                </c:pt>
                <c:pt idx="66">
                  <c:v>2249.6</c:v>
                </c:pt>
                <c:pt idx="67">
                  <c:v>2155.1</c:v>
                </c:pt>
                <c:pt idx="68">
                  <c:v>2173</c:v>
                </c:pt>
                <c:pt idx="69">
                  <c:v>2297.8</c:v>
                </c:pt>
                <c:pt idx="70">
                  <c:v>2222.4</c:v>
                </c:pt>
                <c:pt idx="71">
                  <c:v>1793.6</c:v>
                </c:pt>
                <c:pt idx="72">
                  <c:v>2242.8</c:v>
                </c:pt>
                <c:pt idx="73">
                  <c:v>2263.4</c:v>
                </c:pt>
                <c:pt idx="74">
                  <c:v>2308.6</c:v>
                </c:pt>
                <c:pt idx="75">
                  <c:v>2265.8</c:v>
                </c:pt>
                <c:pt idx="76">
                  <c:v>2232.4</c:v>
                </c:pt>
                <c:pt idx="77">
                  <c:v>1951.2</c:v>
                </c:pt>
                <c:pt idx="78">
                  <c:v>1816.7</c:v>
                </c:pt>
                <c:pt idx="79">
                  <c:v>2074.5</c:v>
                </c:pt>
                <c:pt idx="80">
                  <c:v>2124.5</c:v>
                </c:pt>
                <c:pt idx="81">
                  <c:v>2036.2</c:v>
                </c:pt>
                <c:pt idx="82">
                  <c:v>2229.3</c:v>
                </c:pt>
                <c:pt idx="83">
                  <c:v>2126.7</c:v>
                </c:pt>
                <c:pt idx="84">
                  <c:v>1649.3</c:v>
                </c:pt>
                <c:pt idx="85">
                  <c:v>2124.8</c:v>
                </c:pt>
                <c:pt idx="86">
                  <c:v>1947.2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98791"/>
        <c:axId val="41974502"/>
      </c:lineChart>
      <c:catAx>
        <c:axId val="21987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974502"/>
        <c:crosses val="autoZero"/>
        <c:auto val="1"/>
        <c:lblAlgn val="ctr"/>
        <c:lblOffset val="100"/>
        <c:noMultiLvlLbl val="0"/>
      </c:catAx>
      <c:valAx>
        <c:axId val="419745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9879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L-04b: CPU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ряды'!G263</c:f>
              <c:strCache>
                <c:ptCount val="1"/>
                <c:pt idx="0">
                  <c:v>CPU java, %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ряды'!$A$264:$A$350</c:f>
              <c:strCache>
                <c:ptCount val="8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</c:strCache>
            </c:strRef>
          </c:cat>
          <c:val>
            <c:numRef>
              <c:f>'Временные ряды'!$G$264:$G$350</c:f>
              <c:numCache>
                <c:formatCode>General</c:formatCode>
                <c:ptCount val="87"/>
                <c:pt idx="0">
                  <c:v>214.1</c:v>
                </c:pt>
                <c:pt idx="1">
                  <c:v>241.8</c:v>
                </c:pt>
                <c:pt idx="2">
                  <c:v>203.4</c:v>
                </c:pt>
                <c:pt idx="3">
                  <c:v>88.6</c:v>
                </c:pt>
                <c:pt idx="4">
                  <c:v>236.3</c:v>
                </c:pt>
                <c:pt idx="5">
                  <c:v>247.7</c:v>
                </c:pt>
                <c:pt idx="6">
                  <c:v>253.7</c:v>
                </c:pt>
                <c:pt idx="7">
                  <c:v>252.9</c:v>
                </c:pt>
                <c:pt idx="8">
                  <c:v>255.8</c:v>
                </c:pt>
                <c:pt idx="9">
                  <c:v>103.8</c:v>
                </c:pt>
                <c:pt idx="10">
                  <c:v>251.3</c:v>
                </c:pt>
                <c:pt idx="11">
                  <c:v>257.2</c:v>
                </c:pt>
                <c:pt idx="12">
                  <c:v>255.8</c:v>
                </c:pt>
                <c:pt idx="13">
                  <c:v>255.3</c:v>
                </c:pt>
                <c:pt idx="14">
                  <c:v>253.6</c:v>
                </c:pt>
                <c:pt idx="15">
                  <c:v>99.3</c:v>
                </c:pt>
                <c:pt idx="16">
                  <c:v>251.5</c:v>
                </c:pt>
                <c:pt idx="17">
                  <c:v>264.8</c:v>
                </c:pt>
                <c:pt idx="18">
                  <c:v>280.9</c:v>
                </c:pt>
                <c:pt idx="19">
                  <c:v>390.8</c:v>
                </c:pt>
                <c:pt idx="20">
                  <c:v>385.6</c:v>
                </c:pt>
                <c:pt idx="21">
                  <c:v>403.4</c:v>
                </c:pt>
                <c:pt idx="22">
                  <c:v>137.5</c:v>
                </c:pt>
                <c:pt idx="23">
                  <c:v>410.5</c:v>
                </c:pt>
                <c:pt idx="24">
                  <c:v>390.1</c:v>
                </c:pt>
                <c:pt idx="25">
                  <c:v>403.3</c:v>
                </c:pt>
                <c:pt idx="26">
                  <c:v>422.8</c:v>
                </c:pt>
                <c:pt idx="27">
                  <c:v>400.4</c:v>
                </c:pt>
                <c:pt idx="28">
                  <c:v>156.9</c:v>
                </c:pt>
                <c:pt idx="29">
                  <c:v>415.2</c:v>
                </c:pt>
                <c:pt idx="30">
                  <c:v>405.3</c:v>
                </c:pt>
                <c:pt idx="31">
                  <c:v>408.8</c:v>
                </c:pt>
                <c:pt idx="32">
                  <c:v>399.1</c:v>
                </c:pt>
                <c:pt idx="33">
                  <c:v>416.8</c:v>
                </c:pt>
                <c:pt idx="34">
                  <c:v>86.8</c:v>
                </c:pt>
                <c:pt idx="35">
                  <c:v>395.2</c:v>
                </c:pt>
                <c:pt idx="36">
                  <c:v>414.4</c:v>
                </c:pt>
                <c:pt idx="37">
                  <c:v>415.2</c:v>
                </c:pt>
                <c:pt idx="38">
                  <c:v>399.8</c:v>
                </c:pt>
                <c:pt idx="39">
                  <c:v>418.1</c:v>
                </c:pt>
                <c:pt idx="40">
                  <c:v>171.3</c:v>
                </c:pt>
                <c:pt idx="41">
                  <c:v>412.4</c:v>
                </c:pt>
                <c:pt idx="42">
                  <c:v>411.6</c:v>
                </c:pt>
                <c:pt idx="43">
                  <c:v>405.2</c:v>
                </c:pt>
                <c:pt idx="44">
                  <c:v>414.9</c:v>
                </c:pt>
                <c:pt idx="45">
                  <c:v>404.7</c:v>
                </c:pt>
                <c:pt idx="46">
                  <c:v>101.8</c:v>
                </c:pt>
                <c:pt idx="47">
                  <c:v>421.8</c:v>
                </c:pt>
                <c:pt idx="48">
                  <c:v>399.7</c:v>
                </c:pt>
                <c:pt idx="49">
                  <c:v>407.7</c:v>
                </c:pt>
                <c:pt idx="50">
                  <c:v>415.4</c:v>
                </c:pt>
                <c:pt idx="51">
                  <c:v>404.5</c:v>
                </c:pt>
                <c:pt idx="52">
                  <c:v>101.5</c:v>
                </c:pt>
                <c:pt idx="53">
                  <c:v>404</c:v>
                </c:pt>
                <c:pt idx="54">
                  <c:v>400.2</c:v>
                </c:pt>
                <c:pt idx="55">
                  <c:v>417.2</c:v>
                </c:pt>
                <c:pt idx="56">
                  <c:v>396.9</c:v>
                </c:pt>
                <c:pt idx="57">
                  <c:v>408.3</c:v>
                </c:pt>
                <c:pt idx="58">
                  <c:v>418</c:v>
                </c:pt>
                <c:pt idx="59">
                  <c:v>188.7</c:v>
                </c:pt>
                <c:pt idx="60">
                  <c:v>417.2</c:v>
                </c:pt>
                <c:pt idx="61">
                  <c:v>401.9</c:v>
                </c:pt>
                <c:pt idx="62">
                  <c:v>405.2</c:v>
                </c:pt>
                <c:pt idx="63">
                  <c:v>416.9</c:v>
                </c:pt>
                <c:pt idx="64">
                  <c:v>409</c:v>
                </c:pt>
                <c:pt idx="65">
                  <c:v>141.7</c:v>
                </c:pt>
                <c:pt idx="66">
                  <c:v>415.1</c:v>
                </c:pt>
                <c:pt idx="67">
                  <c:v>396.3</c:v>
                </c:pt>
                <c:pt idx="68">
                  <c:v>412.1</c:v>
                </c:pt>
                <c:pt idx="69">
                  <c:v>402</c:v>
                </c:pt>
                <c:pt idx="70">
                  <c:v>413.2</c:v>
                </c:pt>
                <c:pt idx="71">
                  <c:v>132.9</c:v>
                </c:pt>
                <c:pt idx="72">
                  <c:v>409.5</c:v>
                </c:pt>
                <c:pt idx="73">
                  <c:v>410.4</c:v>
                </c:pt>
                <c:pt idx="74">
                  <c:v>406.3</c:v>
                </c:pt>
                <c:pt idx="75">
                  <c:v>397.7</c:v>
                </c:pt>
                <c:pt idx="76">
                  <c:v>416.8</c:v>
                </c:pt>
                <c:pt idx="77">
                  <c:v>64.7</c:v>
                </c:pt>
                <c:pt idx="78">
                  <c:v>407.8</c:v>
                </c:pt>
                <c:pt idx="79">
                  <c:v>418.1</c:v>
                </c:pt>
                <c:pt idx="80">
                  <c:v>396.3</c:v>
                </c:pt>
                <c:pt idx="81">
                  <c:v>415.8</c:v>
                </c:pt>
                <c:pt idx="82">
                  <c:v>410.4</c:v>
                </c:pt>
                <c:pt idx="83">
                  <c:v>405.9</c:v>
                </c:pt>
                <c:pt idx="84">
                  <c:v>141</c:v>
                </c:pt>
                <c:pt idx="85">
                  <c:v>409.1</c:v>
                </c:pt>
                <c:pt idx="86">
                  <c:v>398.3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ряды'!H263</c:f>
              <c:strCache>
                <c:ptCount val="1"/>
                <c:pt idx="0">
                  <c:v>CPU mysqld, %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ряды'!$A$264:$A$350</c:f>
              <c:strCache>
                <c:ptCount val="8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</c:strCache>
            </c:strRef>
          </c:cat>
          <c:val>
            <c:numRef>
              <c:f>'Временные ряды'!$H$264:$H$350</c:f>
              <c:numCache>
                <c:formatCode>General</c:formatCode>
                <c:ptCount val="87"/>
                <c:pt idx="0">
                  <c:v>276.4</c:v>
                </c:pt>
                <c:pt idx="1">
                  <c:v>319</c:v>
                </c:pt>
                <c:pt idx="2">
                  <c:v>265.3</c:v>
                </c:pt>
                <c:pt idx="3">
                  <c:v>118</c:v>
                </c:pt>
                <c:pt idx="4">
                  <c:v>309</c:v>
                </c:pt>
                <c:pt idx="5">
                  <c:v>327</c:v>
                </c:pt>
                <c:pt idx="6">
                  <c:v>335</c:v>
                </c:pt>
                <c:pt idx="7">
                  <c:v>331.7</c:v>
                </c:pt>
                <c:pt idx="8">
                  <c:v>335</c:v>
                </c:pt>
                <c:pt idx="9">
                  <c:v>138.7</c:v>
                </c:pt>
                <c:pt idx="10">
                  <c:v>330.2</c:v>
                </c:pt>
                <c:pt idx="11">
                  <c:v>339.4</c:v>
                </c:pt>
                <c:pt idx="12">
                  <c:v>338</c:v>
                </c:pt>
                <c:pt idx="13">
                  <c:v>334.2</c:v>
                </c:pt>
                <c:pt idx="14">
                  <c:v>329.6</c:v>
                </c:pt>
                <c:pt idx="15">
                  <c:v>132</c:v>
                </c:pt>
                <c:pt idx="16">
                  <c:v>328.9</c:v>
                </c:pt>
                <c:pt idx="17">
                  <c:v>349.1</c:v>
                </c:pt>
                <c:pt idx="18">
                  <c:v>369.5</c:v>
                </c:pt>
                <c:pt idx="19">
                  <c:v>524.1</c:v>
                </c:pt>
                <c:pt idx="20">
                  <c:v>509.8</c:v>
                </c:pt>
                <c:pt idx="21">
                  <c:v>541.8</c:v>
                </c:pt>
                <c:pt idx="22">
                  <c:v>183.1</c:v>
                </c:pt>
                <c:pt idx="23">
                  <c:v>563.9</c:v>
                </c:pt>
                <c:pt idx="24">
                  <c:v>536</c:v>
                </c:pt>
                <c:pt idx="25">
                  <c:v>559.4</c:v>
                </c:pt>
                <c:pt idx="26">
                  <c:v>581.1</c:v>
                </c:pt>
                <c:pt idx="27">
                  <c:v>555.5</c:v>
                </c:pt>
                <c:pt idx="28">
                  <c:v>215.8</c:v>
                </c:pt>
                <c:pt idx="29">
                  <c:v>574.9</c:v>
                </c:pt>
                <c:pt idx="30">
                  <c:v>559.2</c:v>
                </c:pt>
                <c:pt idx="31">
                  <c:v>566.3</c:v>
                </c:pt>
                <c:pt idx="32">
                  <c:v>550.9</c:v>
                </c:pt>
                <c:pt idx="33">
                  <c:v>574</c:v>
                </c:pt>
                <c:pt idx="34">
                  <c:v>115.1</c:v>
                </c:pt>
                <c:pt idx="35">
                  <c:v>548.4</c:v>
                </c:pt>
                <c:pt idx="36">
                  <c:v>571.3</c:v>
                </c:pt>
                <c:pt idx="37">
                  <c:v>567.6</c:v>
                </c:pt>
                <c:pt idx="38">
                  <c:v>552</c:v>
                </c:pt>
                <c:pt idx="39">
                  <c:v>579.5</c:v>
                </c:pt>
                <c:pt idx="40">
                  <c:v>235.8</c:v>
                </c:pt>
                <c:pt idx="41">
                  <c:v>568.8</c:v>
                </c:pt>
                <c:pt idx="42">
                  <c:v>567.9</c:v>
                </c:pt>
                <c:pt idx="43">
                  <c:v>555.9</c:v>
                </c:pt>
                <c:pt idx="44">
                  <c:v>575.7</c:v>
                </c:pt>
                <c:pt idx="45">
                  <c:v>560.2</c:v>
                </c:pt>
                <c:pt idx="46">
                  <c:v>138.2</c:v>
                </c:pt>
                <c:pt idx="47">
                  <c:v>580.4</c:v>
                </c:pt>
                <c:pt idx="48">
                  <c:v>550.5</c:v>
                </c:pt>
                <c:pt idx="49">
                  <c:v>565.6</c:v>
                </c:pt>
                <c:pt idx="50">
                  <c:v>573</c:v>
                </c:pt>
                <c:pt idx="51">
                  <c:v>560.1</c:v>
                </c:pt>
                <c:pt idx="52">
                  <c:v>141.9</c:v>
                </c:pt>
                <c:pt idx="53">
                  <c:v>551.6</c:v>
                </c:pt>
                <c:pt idx="54">
                  <c:v>553.6</c:v>
                </c:pt>
                <c:pt idx="55">
                  <c:v>575.8</c:v>
                </c:pt>
                <c:pt idx="56">
                  <c:v>550.6</c:v>
                </c:pt>
                <c:pt idx="57">
                  <c:v>561.4</c:v>
                </c:pt>
                <c:pt idx="58">
                  <c:v>555</c:v>
                </c:pt>
                <c:pt idx="59">
                  <c:v>247.8</c:v>
                </c:pt>
                <c:pt idx="60">
                  <c:v>575.6</c:v>
                </c:pt>
                <c:pt idx="61">
                  <c:v>541.9</c:v>
                </c:pt>
                <c:pt idx="62">
                  <c:v>551.1</c:v>
                </c:pt>
                <c:pt idx="63">
                  <c:v>571.8</c:v>
                </c:pt>
                <c:pt idx="64">
                  <c:v>556.7</c:v>
                </c:pt>
                <c:pt idx="65">
                  <c:v>195.5</c:v>
                </c:pt>
                <c:pt idx="66">
                  <c:v>569</c:v>
                </c:pt>
                <c:pt idx="67">
                  <c:v>543.7</c:v>
                </c:pt>
                <c:pt idx="68">
                  <c:v>566.8</c:v>
                </c:pt>
                <c:pt idx="69">
                  <c:v>554.2</c:v>
                </c:pt>
                <c:pt idx="70">
                  <c:v>559.3</c:v>
                </c:pt>
                <c:pt idx="71">
                  <c:v>177.2</c:v>
                </c:pt>
                <c:pt idx="72">
                  <c:v>554.3</c:v>
                </c:pt>
                <c:pt idx="73">
                  <c:v>558.8</c:v>
                </c:pt>
                <c:pt idx="74">
                  <c:v>555.2</c:v>
                </c:pt>
                <c:pt idx="75">
                  <c:v>543.3</c:v>
                </c:pt>
                <c:pt idx="76">
                  <c:v>570.1</c:v>
                </c:pt>
                <c:pt idx="77">
                  <c:v>93.8</c:v>
                </c:pt>
                <c:pt idx="78">
                  <c:v>560.1</c:v>
                </c:pt>
                <c:pt idx="79">
                  <c:v>572.7</c:v>
                </c:pt>
                <c:pt idx="80">
                  <c:v>543</c:v>
                </c:pt>
                <c:pt idx="81">
                  <c:v>572</c:v>
                </c:pt>
                <c:pt idx="82">
                  <c:v>561.1</c:v>
                </c:pt>
                <c:pt idx="83">
                  <c:v>552.9</c:v>
                </c:pt>
                <c:pt idx="84">
                  <c:v>191.3</c:v>
                </c:pt>
                <c:pt idx="85">
                  <c:v>556.9</c:v>
                </c:pt>
                <c:pt idx="86">
                  <c:v>539.6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'Временные ряды'!I263</c:f>
              <c:strCache>
                <c:ptCount val="1"/>
                <c:pt idx="0">
                  <c:v>CPU машины, 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ряды'!$A$264:$A$350</c:f>
              <c:strCache>
                <c:ptCount val="8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</c:strCache>
            </c:strRef>
          </c:cat>
          <c:val>
            <c:numRef>
              <c:f>'Временные ряды'!$I$264:$I$350</c:f>
              <c:numCache>
                <c:formatCode>General</c:formatCode>
                <c:ptCount val="87"/>
                <c:pt idx="0">
                  <c:v>42.2</c:v>
                </c:pt>
                <c:pt idx="1">
                  <c:v>43.6</c:v>
                </c:pt>
                <c:pt idx="2">
                  <c:v>36.2</c:v>
                </c:pt>
                <c:pt idx="3">
                  <c:v>38.5</c:v>
                </c:pt>
                <c:pt idx="4">
                  <c:v>42.5</c:v>
                </c:pt>
                <c:pt idx="5">
                  <c:v>45.6</c:v>
                </c:pt>
                <c:pt idx="6">
                  <c:v>46.2</c:v>
                </c:pt>
                <c:pt idx="7">
                  <c:v>45.1</c:v>
                </c:pt>
                <c:pt idx="8">
                  <c:v>46.5</c:v>
                </c:pt>
                <c:pt idx="9">
                  <c:v>45.3</c:v>
                </c:pt>
                <c:pt idx="10">
                  <c:v>44.6</c:v>
                </c:pt>
                <c:pt idx="11">
                  <c:v>47.7</c:v>
                </c:pt>
                <c:pt idx="12">
                  <c:v>45.7</c:v>
                </c:pt>
                <c:pt idx="13">
                  <c:v>45.8</c:v>
                </c:pt>
                <c:pt idx="14">
                  <c:v>46.2</c:v>
                </c:pt>
                <c:pt idx="15">
                  <c:v>44.9</c:v>
                </c:pt>
                <c:pt idx="16">
                  <c:v>45</c:v>
                </c:pt>
                <c:pt idx="17">
                  <c:v>48.1</c:v>
                </c:pt>
                <c:pt idx="18">
                  <c:v>50.2</c:v>
                </c:pt>
                <c:pt idx="19">
                  <c:v>73.2</c:v>
                </c:pt>
                <c:pt idx="20">
                  <c:v>67.9</c:v>
                </c:pt>
                <c:pt idx="21">
                  <c:v>75.8</c:v>
                </c:pt>
                <c:pt idx="22">
                  <c:v>80.6</c:v>
                </c:pt>
                <c:pt idx="23">
                  <c:v>81</c:v>
                </c:pt>
                <c:pt idx="24">
                  <c:v>78.4</c:v>
                </c:pt>
                <c:pt idx="25">
                  <c:v>78.1</c:v>
                </c:pt>
                <c:pt idx="26">
                  <c:v>75.4</c:v>
                </c:pt>
                <c:pt idx="27">
                  <c:v>76</c:v>
                </c:pt>
                <c:pt idx="28">
                  <c:v>76.5</c:v>
                </c:pt>
                <c:pt idx="29">
                  <c:v>76.3</c:v>
                </c:pt>
                <c:pt idx="30">
                  <c:v>75.3</c:v>
                </c:pt>
                <c:pt idx="31">
                  <c:v>76.5</c:v>
                </c:pt>
                <c:pt idx="32">
                  <c:v>76.1</c:v>
                </c:pt>
                <c:pt idx="33">
                  <c:v>75.4</c:v>
                </c:pt>
                <c:pt idx="34">
                  <c:v>75.8</c:v>
                </c:pt>
                <c:pt idx="35">
                  <c:v>76.1</c:v>
                </c:pt>
                <c:pt idx="36">
                  <c:v>76.2</c:v>
                </c:pt>
                <c:pt idx="37">
                  <c:v>75</c:v>
                </c:pt>
                <c:pt idx="38">
                  <c:v>76</c:v>
                </c:pt>
                <c:pt idx="39">
                  <c:v>76</c:v>
                </c:pt>
                <c:pt idx="40">
                  <c:v>75.8</c:v>
                </c:pt>
                <c:pt idx="41">
                  <c:v>74.8</c:v>
                </c:pt>
                <c:pt idx="42">
                  <c:v>75.9</c:v>
                </c:pt>
                <c:pt idx="43">
                  <c:v>75</c:v>
                </c:pt>
                <c:pt idx="44">
                  <c:v>75.9</c:v>
                </c:pt>
                <c:pt idx="45">
                  <c:v>76</c:v>
                </c:pt>
                <c:pt idx="46">
                  <c:v>75.8</c:v>
                </c:pt>
                <c:pt idx="47">
                  <c:v>75</c:v>
                </c:pt>
                <c:pt idx="48">
                  <c:v>76.2</c:v>
                </c:pt>
                <c:pt idx="49">
                  <c:v>76</c:v>
                </c:pt>
                <c:pt idx="50">
                  <c:v>76.1</c:v>
                </c:pt>
                <c:pt idx="51">
                  <c:v>75.8</c:v>
                </c:pt>
                <c:pt idx="52">
                  <c:v>75.8</c:v>
                </c:pt>
                <c:pt idx="53">
                  <c:v>75.6</c:v>
                </c:pt>
                <c:pt idx="54">
                  <c:v>76.4</c:v>
                </c:pt>
                <c:pt idx="55">
                  <c:v>75.2</c:v>
                </c:pt>
                <c:pt idx="56">
                  <c:v>76.1</c:v>
                </c:pt>
                <c:pt idx="57">
                  <c:v>75.9</c:v>
                </c:pt>
                <c:pt idx="58">
                  <c:v>74.7</c:v>
                </c:pt>
                <c:pt idx="59">
                  <c:v>75.7</c:v>
                </c:pt>
                <c:pt idx="60">
                  <c:v>75.7</c:v>
                </c:pt>
                <c:pt idx="61">
                  <c:v>75.8</c:v>
                </c:pt>
                <c:pt idx="62">
                  <c:v>75.8</c:v>
                </c:pt>
                <c:pt idx="63">
                  <c:v>76.1</c:v>
                </c:pt>
                <c:pt idx="64">
                  <c:v>74.8</c:v>
                </c:pt>
                <c:pt idx="65">
                  <c:v>75.3</c:v>
                </c:pt>
                <c:pt idx="66">
                  <c:v>75.4</c:v>
                </c:pt>
                <c:pt idx="67">
                  <c:v>76</c:v>
                </c:pt>
                <c:pt idx="68">
                  <c:v>76.2</c:v>
                </c:pt>
                <c:pt idx="69">
                  <c:v>75.7</c:v>
                </c:pt>
                <c:pt idx="70">
                  <c:v>75</c:v>
                </c:pt>
                <c:pt idx="71">
                  <c:v>76</c:v>
                </c:pt>
                <c:pt idx="72">
                  <c:v>76.1</c:v>
                </c:pt>
                <c:pt idx="73">
                  <c:v>75.6</c:v>
                </c:pt>
                <c:pt idx="74">
                  <c:v>75.7</c:v>
                </c:pt>
                <c:pt idx="75">
                  <c:v>75.9</c:v>
                </c:pt>
                <c:pt idx="76">
                  <c:v>75.5</c:v>
                </c:pt>
                <c:pt idx="77">
                  <c:v>75.6</c:v>
                </c:pt>
                <c:pt idx="78">
                  <c:v>75.4</c:v>
                </c:pt>
                <c:pt idx="79">
                  <c:v>76.4</c:v>
                </c:pt>
                <c:pt idx="80">
                  <c:v>76.4</c:v>
                </c:pt>
                <c:pt idx="81">
                  <c:v>76</c:v>
                </c:pt>
                <c:pt idx="82">
                  <c:v>76.1</c:v>
                </c:pt>
                <c:pt idx="83">
                  <c:v>74.9</c:v>
                </c:pt>
                <c:pt idx="84">
                  <c:v>76.7</c:v>
                </c:pt>
                <c:pt idx="85">
                  <c:v>75.3</c:v>
                </c:pt>
                <c:pt idx="86">
                  <c:v>71.7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0586769"/>
        <c:axId val="31434786"/>
      </c:lineChart>
      <c:catAx>
        <c:axId val="205867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434786"/>
        <c:crosses val="autoZero"/>
        <c:auto val="1"/>
        <c:lblAlgn val="ctr"/>
        <c:lblOffset val="100"/>
        <c:noMultiLvlLbl val="0"/>
      </c:catAx>
      <c:valAx>
        <c:axId val="314347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58676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L-05: VU и RPS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ряды'!B354</c:f>
              <c:strCache>
                <c:ptCount val="1"/>
                <c:pt idx="0">
                  <c:v>VU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ряды'!$A$355:$A$392</c:f>
              <c:strCache>
                <c:ptCount val="3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</c:strCache>
            </c:strRef>
          </c:cat>
          <c:val>
            <c:numRef>
              <c:f>'Временные ряды'!$B$355:$B$392</c:f>
              <c:numCache>
                <c:formatCode>General</c:formatCode>
                <c:ptCount val="38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113</c:v>
                </c:pt>
                <c:pt idx="12">
                  <c:v>308</c:v>
                </c:pt>
                <c:pt idx="13">
                  <c:v>400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400</c:v>
                </c:pt>
                <c:pt idx="21">
                  <c:v>400</c:v>
                </c:pt>
                <c:pt idx="22">
                  <c:v>400</c:v>
                </c:pt>
                <c:pt idx="23">
                  <c:v>400</c:v>
                </c:pt>
                <c:pt idx="24">
                  <c:v>400</c:v>
                </c:pt>
                <c:pt idx="25">
                  <c:v>362</c:v>
                </c:pt>
                <c:pt idx="26">
                  <c:v>165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ряды'!C354</c:f>
              <c:strCache>
                <c:ptCount val="1"/>
                <c:pt idx="0">
                  <c:v>RPS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ряды'!$A$355:$A$392</c:f>
              <c:strCache>
                <c:ptCount val="3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</c:strCache>
            </c:strRef>
          </c:cat>
          <c:val>
            <c:numRef>
              <c:f>'Временные ряды'!$C$355:$C$392</c:f>
              <c:numCache>
                <c:formatCode>General</c:formatCode>
                <c:ptCount val="38"/>
                <c:pt idx="0">
                  <c:v>25.4</c:v>
                </c:pt>
                <c:pt idx="1">
                  <c:v>22.8</c:v>
                </c:pt>
                <c:pt idx="2">
                  <c:v>21.8</c:v>
                </c:pt>
                <c:pt idx="3">
                  <c:v>19.2</c:v>
                </c:pt>
                <c:pt idx="4">
                  <c:v>17.8</c:v>
                </c:pt>
                <c:pt idx="5">
                  <c:v>17.2</c:v>
                </c:pt>
                <c:pt idx="6">
                  <c:v>17</c:v>
                </c:pt>
                <c:pt idx="7">
                  <c:v>23.4</c:v>
                </c:pt>
                <c:pt idx="8">
                  <c:v>22</c:v>
                </c:pt>
                <c:pt idx="9">
                  <c:v>21</c:v>
                </c:pt>
                <c:pt idx="10">
                  <c:v>17.2</c:v>
                </c:pt>
                <c:pt idx="11">
                  <c:v>190</c:v>
                </c:pt>
                <c:pt idx="12">
                  <c:v>577.6</c:v>
                </c:pt>
                <c:pt idx="13">
                  <c:v>776</c:v>
                </c:pt>
                <c:pt idx="14">
                  <c:v>959.6</c:v>
                </c:pt>
                <c:pt idx="15">
                  <c:v>745.6</c:v>
                </c:pt>
                <c:pt idx="16">
                  <c:v>730.8</c:v>
                </c:pt>
                <c:pt idx="17">
                  <c:v>746.2</c:v>
                </c:pt>
                <c:pt idx="18">
                  <c:v>742.6</c:v>
                </c:pt>
                <c:pt idx="19">
                  <c:v>720</c:v>
                </c:pt>
                <c:pt idx="20">
                  <c:v>970.2</c:v>
                </c:pt>
                <c:pt idx="21">
                  <c:v>747.2</c:v>
                </c:pt>
                <c:pt idx="22">
                  <c:v>739.8</c:v>
                </c:pt>
                <c:pt idx="23">
                  <c:v>734.4</c:v>
                </c:pt>
                <c:pt idx="24">
                  <c:v>729.2</c:v>
                </c:pt>
                <c:pt idx="25">
                  <c:v>449.2</c:v>
                </c:pt>
                <c:pt idx="26">
                  <c:v>113.6</c:v>
                </c:pt>
                <c:pt idx="27">
                  <c:v>17.6</c:v>
                </c:pt>
                <c:pt idx="28">
                  <c:v>18.6</c:v>
                </c:pt>
                <c:pt idx="29">
                  <c:v>20.4</c:v>
                </c:pt>
                <c:pt idx="30">
                  <c:v>19</c:v>
                </c:pt>
                <c:pt idx="31">
                  <c:v>16.4</c:v>
                </c:pt>
                <c:pt idx="32">
                  <c:v>25.6</c:v>
                </c:pt>
                <c:pt idx="33">
                  <c:v>18</c:v>
                </c:pt>
                <c:pt idx="34">
                  <c:v>20.6</c:v>
                </c:pt>
                <c:pt idx="35">
                  <c:v>20.2</c:v>
                </c:pt>
                <c:pt idx="36">
                  <c:v>18.2</c:v>
                </c:pt>
                <c:pt idx="37">
                  <c:v>18.2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281303"/>
        <c:axId val="89871731"/>
      </c:lineChart>
      <c:catAx>
        <c:axId val="102813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871731"/>
        <c:crosses val="autoZero"/>
        <c:auto val="1"/>
        <c:lblAlgn val="ctr"/>
        <c:lblOffset val="100"/>
        <c:noMultiLvlLbl val="0"/>
      </c:catAx>
      <c:valAx>
        <c:axId val="898717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28130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L-05: время отклика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ряды'!D354</c:f>
              <c:strCache>
                <c:ptCount val="1"/>
                <c:pt idx="0">
                  <c:v>p95, мс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ряды'!$A$355:$A$392</c:f>
              <c:strCache>
                <c:ptCount val="3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</c:strCache>
            </c:strRef>
          </c:cat>
          <c:val>
            <c:numRef>
              <c:f>'Временные ряды'!$D$355:$D$392</c:f>
              <c:numCache>
                <c:formatCode>General</c:formatCode>
                <c:ptCount val="38"/>
                <c:pt idx="0">
                  <c:v>16.9</c:v>
                </c:pt>
                <c:pt idx="1">
                  <c:v>17.6</c:v>
                </c:pt>
                <c:pt idx="2">
                  <c:v>17.7</c:v>
                </c:pt>
                <c:pt idx="3">
                  <c:v>16.3</c:v>
                </c:pt>
                <c:pt idx="4">
                  <c:v>16.8</c:v>
                </c:pt>
                <c:pt idx="5">
                  <c:v>16.9</c:v>
                </c:pt>
                <c:pt idx="6">
                  <c:v>16.5</c:v>
                </c:pt>
                <c:pt idx="7">
                  <c:v>17.9</c:v>
                </c:pt>
                <c:pt idx="8">
                  <c:v>16.9</c:v>
                </c:pt>
                <c:pt idx="9">
                  <c:v>16.9</c:v>
                </c:pt>
                <c:pt idx="10">
                  <c:v>17.1</c:v>
                </c:pt>
                <c:pt idx="11">
                  <c:v>16.2</c:v>
                </c:pt>
                <c:pt idx="12">
                  <c:v>15.6</c:v>
                </c:pt>
                <c:pt idx="13">
                  <c:v>15.8</c:v>
                </c:pt>
                <c:pt idx="14">
                  <c:v>15.4</c:v>
                </c:pt>
                <c:pt idx="15">
                  <c:v>14.7</c:v>
                </c:pt>
                <c:pt idx="16">
                  <c:v>14.8</c:v>
                </c:pt>
                <c:pt idx="17">
                  <c:v>15</c:v>
                </c:pt>
                <c:pt idx="18">
                  <c:v>14.3</c:v>
                </c:pt>
                <c:pt idx="19">
                  <c:v>16.7</c:v>
                </c:pt>
                <c:pt idx="20">
                  <c:v>14.2</c:v>
                </c:pt>
                <c:pt idx="21">
                  <c:v>15</c:v>
                </c:pt>
                <c:pt idx="22">
                  <c:v>15.1</c:v>
                </c:pt>
                <c:pt idx="23">
                  <c:v>15.5</c:v>
                </c:pt>
                <c:pt idx="24">
                  <c:v>14.7</c:v>
                </c:pt>
                <c:pt idx="25">
                  <c:v>16.2</c:v>
                </c:pt>
                <c:pt idx="26">
                  <c:v>15.9</c:v>
                </c:pt>
                <c:pt idx="27">
                  <c:v>17.1</c:v>
                </c:pt>
                <c:pt idx="28">
                  <c:v>16.5</c:v>
                </c:pt>
                <c:pt idx="29">
                  <c:v>17.6</c:v>
                </c:pt>
                <c:pt idx="30">
                  <c:v>17.1</c:v>
                </c:pt>
                <c:pt idx="31">
                  <c:v>17.8</c:v>
                </c:pt>
                <c:pt idx="32">
                  <c:v>17.7</c:v>
                </c:pt>
                <c:pt idx="33">
                  <c:v>16.6</c:v>
                </c:pt>
                <c:pt idx="34">
                  <c:v>17.3</c:v>
                </c:pt>
                <c:pt idx="35">
                  <c:v>17</c:v>
                </c:pt>
                <c:pt idx="36">
                  <c:v>17</c:v>
                </c:pt>
                <c:pt idx="37">
                  <c:v>17.4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ряды'!E354</c:f>
              <c:strCache>
                <c:ptCount val="1"/>
                <c:pt idx="0">
                  <c:v>Avg, мс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ряды'!$A$355:$A$392</c:f>
              <c:strCache>
                <c:ptCount val="3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</c:strCache>
            </c:strRef>
          </c:cat>
          <c:val>
            <c:numRef>
              <c:f>'Временные ряды'!$E$355:$E$392</c:f>
              <c:numCache>
                <c:formatCode>General</c:formatCode>
                <c:ptCount val="38"/>
                <c:pt idx="0">
                  <c:v>8.4</c:v>
                </c:pt>
                <c:pt idx="1">
                  <c:v>8.3</c:v>
                </c:pt>
                <c:pt idx="2">
                  <c:v>8.4</c:v>
                </c:pt>
                <c:pt idx="3">
                  <c:v>8</c:v>
                </c:pt>
                <c:pt idx="4">
                  <c:v>7.7</c:v>
                </c:pt>
                <c:pt idx="5">
                  <c:v>8.5</c:v>
                </c:pt>
                <c:pt idx="6">
                  <c:v>8.5</c:v>
                </c:pt>
                <c:pt idx="7">
                  <c:v>8.3</c:v>
                </c:pt>
                <c:pt idx="8">
                  <c:v>8.3</c:v>
                </c:pt>
                <c:pt idx="9">
                  <c:v>8.7</c:v>
                </c:pt>
                <c:pt idx="10">
                  <c:v>9.3</c:v>
                </c:pt>
                <c:pt idx="11">
                  <c:v>5.7</c:v>
                </c:pt>
                <c:pt idx="12">
                  <c:v>6.4</c:v>
                </c:pt>
                <c:pt idx="13">
                  <c:v>7.2</c:v>
                </c:pt>
                <c:pt idx="14">
                  <c:v>7.1</c:v>
                </c:pt>
                <c:pt idx="15">
                  <c:v>6.7</c:v>
                </c:pt>
                <c:pt idx="16">
                  <c:v>6.6</c:v>
                </c:pt>
                <c:pt idx="17">
                  <c:v>6.9</c:v>
                </c:pt>
                <c:pt idx="18">
                  <c:v>6.2</c:v>
                </c:pt>
                <c:pt idx="19">
                  <c:v>7.9</c:v>
                </c:pt>
                <c:pt idx="20">
                  <c:v>6.7</c:v>
                </c:pt>
                <c:pt idx="21">
                  <c:v>6.9</c:v>
                </c:pt>
                <c:pt idx="22">
                  <c:v>7.2</c:v>
                </c:pt>
                <c:pt idx="23">
                  <c:v>7.1</c:v>
                </c:pt>
                <c:pt idx="24">
                  <c:v>6.3</c:v>
                </c:pt>
                <c:pt idx="25">
                  <c:v>7.6</c:v>
                </c:pt>
                <c:pt idx="26">
                  <c:v>7.6</c:v>
                </c:pt>
                <c:pt idx="27">
                  <c:v>8.3</c:v>
                </c:pt>
                <c:pt idx="28">
                  <c:v>8.1</c:v>
                </c:pt>
                <c:pt idx="29">
                  <c:v>8.8</c:v>
                </c:pt>
                <c:pt idx="30">
                  <c:v>8</c:v>
                </c:pt>
                <c:pt idx="31">
                  <c:v>8.7</c:v>
                </c:pt>
                <c:pt idx="32">
                  <c:v>8.4</c:v>
                </c:pt>
                <c:pt idx="33">
                  <c:v>8.6</c:v>
                </c:pt>
                <c:pt idx="34">
                  <c:v>8.7</c:v>
                </c:pt>
                <c:pt idx="35">
                  <c:v>8.2</c:v>
                </c:pt>
                <c:pt idx="36">
                  <c:v>8</c:v>
                </c:pt>
                <c:pt idx="37">
                  <c:v>8.8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7574770"/>
        <c:axId val="94165202"/>
      </c:lineChart>
      <c:catAx>
        <c:axId val="575747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165202"/>
        <c:crosses val="autoZero"/>
        <c:auto val="1"/>
        <c:lblAlgn val="ctr"/>
        <c:lblOffset val="100"/>
        <c:noMultiLvlLbl val="0"/>
      </c:catAx>
      <c:valAx>
        <c:axId val="941652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5747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L-05: CPU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ряды'!G354</c:f>
              <c:strCache>
                <c:ptCount val="1"/>
                <c:pt idx="0">
                  <c:v>CPU java, %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ряды'!$A$355:$A$392</c:f>
              <c:strCache>
                <c:ptCount val="3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</c:strCache>
            </c:strRef>
          </c:cat>
          <c:val>
            <c:numRef>
              <c:f>'Временные ряды'!$G$355:$G$392</c:f>
              <c:numCache>
                <c:formatCode>General</c:formatCode>
                <c:ptCount val="38"/>
                <c:pt idx="0">
                  <c:v>10.3</c:v>
                </c:pt>
                <c:pt idx="1">
                  <c:v>4.4</c:v>
                </c:pt>
                <c:pt idx="2">
                  <c:v>7.3</c:v>
                </c:pt>
                <c:pt idx="3">
                  <c:v>7.3</c:v>
                </c:pt>
                <c:pt idx="4">
                  <c:v>6.7</c:v>
                </c:pt>
                <c:pt idx="5">
                  <c:v>6.5</c:v>
                </c:pt>
                <c:pt idx="6">
                  <c:v>7.1</c:v>
                </c:pt>
                <c:pt idx="7">
                  <c:v>4.5</c:v>
                </c:pt>
                <c:pt idx="8">
                  <c:v>6.7</c:v>
                </c:pt>
                <c:pt idx="9">
                  <c:v>8.3</c:v>
                </c:pt>
                <c:pt idx="10">
                  <c:v>7.5</c:v>
                </c:pt>
                <c:pt idx="11">
                  <c:v>35.2</c:v>
                </c:pt>
                <c:pt idx="12">
                  <c:v>140.6</c:v>
                </c:pt>
                <c:pt idx="13">
                  <c:v>220.5</c:v>
                </c:pt>
                <c:pt idx="14">
                  <c:v>112.4</c:v>
                </c:pt>
                <c:pt idx="15">
                  <c:v>202.2</c:v>
                </c:pt>
                <c:pt idx="16">
                  <c:v>206.5</c:v>
                </c:pt>
                <c:pt idx="17">
                  <c:v>212.5</c:v>
                </c:pt>
                <c:pt idx="18">
                  <c:v>193</c:v>
                </c:pt>
                <c:pt idx="19">
                  <c:v>220.3</c:v>
                </c:pt>
                <c:pt idx="20">
                  <c:v>120.8</c:v>
                </c:pt>
                <c:pt idx="21">
                  <c:v>214.1</c:v>
                </c:pt>
                <c:pt idx="22">
                  <c:v>207</c:v>
                </c:pt>
                <c:pt idx="23">
                  <c:v>216.6</c:v>
                </c:pt>
                <c:pt idx="24">
                  <c:v>184.1</c:v>
                </c:pt>
                <c:pt idx="25">
                  <c:v>148.9</c:v>
                </c:pt>
                <c:pt idx="26">
                  <c:v>24.9</c:v>
                </c:pt>
                <c:pt idx="27">
                  <c:v>6.5</c:v>
                </c:pt>
                <c:pt idx="28">
                  <c:v>7.6</c:v>
                </c:pt>
                <c:pt idx="29">
                  <c:v>7.6</c:v>
                </c:pt>
                <c:pt idx="30">
                  <c:v>7.6</c:v>
                </c:pt>
                <c:pt idx="31">
                  <c:v>6.1</c:v>
                </c:pt>
                <c:pt idx="32">
                  <c:v>5.5</c:v>
                </c:pt>
                <c:pt idx="33">
                  <c:v>7</c:v>
                </c:pt>
                <c:pt idx="34">
                  <c:v>8</c:v>
                </c:pt>
                <c:pt idx="35">
                  <c:v>8</c:v>
                </c:pt>
                <c:pt idx="36">
                  <c:v>6.9</c:v>
                </c:pt>
                <c:pt idx="37">
                  <c:v>8.3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ряды'!H354</c:f>
              <c:strCache>
                <c:ptCount val="1"/>
                <c:pt idx="0">
                  <c:v>CPU mysqld, %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ряды'!$A$355:$A$392</c:f>
              <c:strCache>
                <c:ptCount val="3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</c:strCache>
            </c:strRef>
          </c:cat>
          <c:val>
            <c:numRef>
              <c:f>'Временные ряды'!$H$355:$H$392</c:f>
              <c:numCache>
                <c:formatCode>General</c:formatCode>
                <c:ptCount val="38"/>
                <c:pt idx="0">
                  <c:v>10.4</c:v>
                </c:pt>
                <c:pt idx="1">
                  <c:v>5.8</c:v>
                </c:pt>
                <c:pt idx="2">
                  <c:v>9</c:v>
                </c:pt>
                <c:pt idx="3">
                  <c:v>8.8</c:v>
                </c:pt>
                <c:pt idx="4">
                  <c:v>8.2</c:v>
                </c:pt>
                <c:pt idx="5">
                  <c:v>7.6</c:v>
                </c:pt>
                <c:pt idx="6">
                  <c:v>8.4</c:v>
                </c:pt>
                <c:pt idx="7">
                  <c:v>5.8</c:v>
                </c:pt>
                <c:pt idx="8">
                  <c:v>8.3</c:v>
                </c:pt>
                <c:pt idx="9">
                  <c:v>10.4</c:v>
                </c:pt>
                <c:pt idx="10">
                  <c:v>9</c:v>
                </c:pt>
                <c:pt idx="11">
                  <c:v>42.5</c:v>
                </c:pt>
                <c:pt idx="12">
                  <c:v>176.4</c:v>
                </c:pt>
                <c:pt idx="13">
                  <c:v>274.7</c:v>
                </c:pt>
                <c:pt idx="14">
                  <c:v>142.3</c:v>
                </c:pt>
                <c:pt idx="15">
                  <c:v>245.9</c:v>
                </c:pt>
                <c:pt idx="16">
                  <c:v>259.4</c:v>
                </c:pt>
                <c:pt idx="17">
                  <c:v>267.3</c:v>
                </c:pt>
                <c:pt idx="18">
                  <c:v>236.3</c:v>
                </c:pt>
                <c:pt idx="19">
                  <c:v>277.4</c:v>
                </c:pt>
                <c:pt idx="20">
                  <c:v>151.9</c:v>
                </c:pt>
                <c:pt idx="21">
                  <c:v>269.6</c:v>
                </c:pt>
                <c:pt idx="22">
                  <c:v>259.9</c:v>
                </c:pt>
                <c:pt idx="23">
                  <c:v>275.3</c:v>
                </c:pt>
                <c:pt idx="24">
                  <c:v>230.4</c:v>
                </c:pt>
                <c:pt idx="25">
                  <c:v>187.6</c:v>
                </c:pt>
                <c:pt idx="26">
                  <c:v>30.8</c:v>
                </c:pt>
                <c:pt idx="27">
                  <c:v>8.2</c:v>
                </c:pt>
                <c:pt idx="28">
                  <c:v>8.9</c:v>
                </c:pt>
                <c:pt idx="29">
                  <c:v>9.3</c:v>
                </c:pt>
                <c:pt idx="30">
                  <c:v>9</c:v>
                </c:pt>
                <c:pt idx="31">
                  <c:v>7.9</c:v>
                </c:pt>
                <c:pt idx="32">
                  <c:v>6.4</c:v>
                </c:pt>
                <c:pt idx="33">
                  <c:v>8.6</c:v>
                </c:pt>
                <c:pt idx="34">
                  <c:v>10.2</c:v>
                </c:pt>
                <c:pt idx="35">
                  <c:v>9.8</c:v>
                </c:pt>
                <c:pt idx="36">
                  <c:v>7.8</c:v>
                </c:pt>
                <c:pt idx="37">
                  <c:v>9.1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'Временные ряды'!I354</c:f>
              <c:strCache>
                <c:ptCount val="1"/>
                <c:pt idx="0">
                  <c:v>CPU машины, 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ряды'!$A$355:$A$392</c:f>
              <c:strCache>
                <c:ptCount val="3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</c:strCache>
            </c:strRef>
          </c:cat>
          <c:val>
            <c:numRef>
              <c:f>'Временные ряды'!$I$355:$I$392</c:f>
              <c:numCache>
                <c:formatCode>General</c:formatCode>
                <c:ptCount val="38"/>
                <c:pt idx="0">
                  <c:v>3.4</c:v>
                </c:pt>
                <c:pt idx="1">
                  <c:v>1.9</c:v>
                </c:pt>
                <c:pt idx="2">
                  <c:v>1.5</c:v>
                </c:pt>
                <c:pt idx="3">
                  <c:v>1.5</c:v>
                </c:pt>
                <c:pt idx="4">
                  <c:v>1.4</c:v>
                </c:pt>
                <c:pt idx="5">
                  <c:v>1.3</c:v>
                </c:pt>
                <c:pt idx="6">
                  <c:v>1.5</c:v>
                </c:pt>
                <c:pt idx="7">
                  <c:v>1.7</c:v>
                </c:pt>
                <c:pt idx="8">
                  <c:v>1.2</c:v>
                </c:pt>
                <c:pt idx="9">
                  <c:v>1.6</c:v>
                </c:pt>
                <c:pt idx="10">
                  <c:v>1.4</c:v>
                </c:pt>
                <c:pt idx="11">
                  <c:v>7.5</c:v>
                </c:pt>
                <c:pt idx="12">
                  <c:v>26.9</c:v>
                </c:pt>
                <c:pt idx="13">
                  <c:v>39.1</c:v>
                </c:pt>
                <c:pt idx="14">
                  <c:v>36.2</c:v>
                </c:pt>
                <c:pt idx="15">
                  <c:v>34.3</c:v>
                </c:pt>
                <c:pt idx="16">
                  <c:v>36.1</c:v>
                </c:pt>
                <c:pt idx="17">
                  <c:v>36.9</c:v>
                </c:pt>
                <c:pt idx="18">
                  <c:v>32.7</c:v>
                </c:pt>
                <c:pt idx="19">
                  <c:v>37.9</c:v>
                </c:pt>
                <c:pt idx="20">
                  <c:v>34.4</c:v>
                </c:pt>
                <c:pt idx="21">
                  <c:v>37</c:v>
                </c:pt>
                <c:pt idx="22">
                  <c:v>35.9</c:v>
                </c:pt>
                <c:pt idx="23">
                  <c:v>37.7</c:v>
                </c:pt>
                <c:pt idx="24">
                  <c:v>31.6</c:v>
                </c:pt>
                <c:pt idx="25">
                  <c:v>25.9</c:v>
                </c:pt>
                <c:pt idx="26">
                  <c:v>5.5</c:v>
                </c:pt>
                <c:pt idx="27">
                  <c:v>1.4</c:v>
                </c:pt>
                <c:pt idx="28">
                  <c:v>1.4</c:v>
                </c:pt>
                <c:pt idx="29">
                  <c:v>1.5</c:v>
                </c:pt>
                <c:pt idx="30">
                  <c:v>2.2</c:v>
                </c:pt>
                <c:pt idx="31">
                  <c:v>1.4</c:v>
                </c:pt>
                <c:pt idx="32">
                  <c:v>1.7</c:v>
                </c:pt>
                <c:pt idx="33">
                  <c:v>1.8</c:v>
                </c:pt>
                <c:pt idx="34">
                  <c:v>1.6</c:v>
                </c:pt>
                <c:pt idx="35">
                  <c:v>1.5</c:v>
                </c:pt>
                <c:pt idx="36">
                  <c:v>1.4</c:v>
                </c:pt>
                <c:pt idx="37">
                  <c:v>1.6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800596"/>
        <c:axId val="96545984"/>
      </c:lineChart>
      <c:catAx>
        <c:axId val="908005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545984"/>
        <c:crosses val="autoZero"/>
        <c:auto val="1"/>
        <c:lblAlgn val="ctr"/>
        <c:lblOffset val="100"/>
        <c:noMultiLvlLbl val="0"/>
      </c:catAx>
      <c:valAx>
        <c:axId val="965459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80059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L-06: VU и RPS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ряды'!B396</c:f>
              <c:strCache>
                <c:ptCount val="1"/>
                <c:pt idx="0">
                  <c:v>VU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ряды'!$A$397:$A$442</c:f>
              <c:strCache>
                <c:ptCount val="4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</c:strCache>
            </c:strRef>
          </c:cat>
          <c:val>
            <c:numRef>
              <c:f>'Временные ряды'!$B$397:$B$442</c:f>
              <c:numCache>
                <c:formatCode>General</c:formatCode>
                <c:ptCount val="4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10</c:v>
                </c:pt>
                <c:pt idx="39">
                  <c:v>10</c:v>
                </c:pt>
                <c:pt idx="40">
                  <c:v>34</c:v>
                </c:pt>
                <c:pt idx="41">
                  <c:v>63</c:v>
                </c:pt>
                <c:pt idx="42">
                  <c:v>72</c:v>
                </c:pt>
                <c:pt idx="43">
                  <c:v>100</c:v>
                </c:pt>
                <c:pt idx="44">
                  <c:v>103</c:v>
                </c:pt>
                <c:pt idx="45">
                  <c:v>92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ряды'!C396</c:f>
              <c:strCache>
                <c:ptCount val="1"/>
                <c:pt idx="0">
                  <c:v>RPS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ряды'!$A$397:$A$442</c:f>
              <c:strCache>
                <c:ptCount val="4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</c:strCache>
            </c:strRef>
          </c:cat>
          <c:val>
            <c:numRef>
              <c:f>'Временные ряды'!$C$397:$C$442</c:f>
              <c:numCache>
                <c:formatCode>General</c:formatCode>
                <c:ptCount val="46"/>
                <c:pt idx="0">
                  <c:v>5</c:v>
                </c:pt>
                <c:pt idx="1">
                  <c:v>7.8</c:v>
                </c:pt>
                <c:pt idx="2">
                  <c:v>7.2</c:v>
                </c:pt>
                <c:pt idx="3">
                  <c:v>8.2</c:v>
                </c:pt>
                <c:pt idx="4">
                  <c:v>8.8</c:v>
                </c:pt>
                <c:pt idx="5">
                  <c:v>9.8</c:v>
                </c:pt>
                <c:pt idx="6">
                  <c:v>10</c:v>
                </c:pt>
                <c:pt idx="7">
                  <c:v>13.2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10.4</c:v>
                </c:pt>
                <c:pt idx="12">
                  <c:v>12.4</c:v>
                </c:pt>
                <c:pt idx="13">
                  <c:v>20.8</c:v>
                </c:pt>
                <c:pt idx="14">
                  <c:v>18.4</c:v>
                </c:pt>
                <c:pt idx="15">
                  <c:v>21</c:v>
                </c:pt>
                <c:pt idx="16">
                  <c:v>23.4</c:v>
                </c:pt>
                <c:pt idx="17">
                  <c:v>24.8</c:v>
                </c:pt>
                <c:pt idx="18">
                  <c:v>25</c:v>
                </c:pt>
                <c:pt idx="19">
                  <c:v>33.8</c:v>
                </c:pt>
                <c:pt idx="20">
                  <c:v>25</c:v>
                </c:pt>
                <c:pt idx="21">
                  <c:v>24.8</c:v>
                </c:pt>
                <c:pt idx="22">
                  <c:v>25.2</c:v>
                </c:pt>
                <c:pt idx="23">
                  <c:v>28</c:v>
                </c:pt>
                <c:pt idx="24">
                  <c:v>32</c:v>
                </c:pt>
                <c:pt idx="25">
                  <c:v>49.4</c:v>
                </c:pt>
                <c:pt idx="26">
                  <c:v>41.8</c:v>
                </c:pt>
                <c:pt idx="27">
                  <c:v>46</c:v>
                </c:pt>
                <c:pt idx="28">
                  <c:v>49.6</c:v>
                </c:pt>
                <c:pt idx="29">
                  <c:v>50</c:v>
                </c:pt>
                <c:pt idx="30">
                  <c:v>50</c:v>
                </c:pt>
                <c:pt idx="31">
                  <c:v>66.8</c:v>
                </c:pt>
                <c:pt idx="32">
                  <c:v>50</c:v>
                </c:pt>
                <c:pt idx="33">
                  <c:v>50</c:v>
                </c:pt>
                <c:pt idx="34">
                  <c:v>53.2</c:v>
                </c:pt>
                <c:pt idx="35">
                  <c:v>61.4</c:v>
                </c:pt>
                <c:pt idx="36">
                  <c:v>69.8</c:v>
                </c:pt>
                <c:pt idx="37">
                  <c:v>106.4</c:v>
                </c:pt>
                <c:pt idx="38">
                  <c:v>89.2</c:v>
                </c:pt>
                <c:pt idx="39">
                  <c:v>97.2</c:v>
                </c:pt>
                <c:pt idx="40">
                  <c:v>93.8</c:v>
                </c:pt>
                <c:pt idx="41">
                  <c:v>91.4</c:v>
                </c:pt>
                <c:pt idx="42">
                  <c:v>96.8</c:v>
                </c:pt>
                <c:pt idx="43">
                  <c:v>102.4</c:v>
                </c:pt>
                <c:pt idx="44">
                  <c:v>119.8</c:v>
                </c:pt>
                <c:pt idx="45">
                  <c:v>63.6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462868"/>
        <c:axId val="98849301"/>
      </c:lineChart>
      <c:catAx>
        <c:axId val="604628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849301"/>
        <c:crosses val="autoZero"/>
        <c:auto val="1"/>
        <c:lblAlgn val="ctr"/>
        <c:lblOffset val="100"/>
        <c:noMultiLvlLbl val="0"/>
      </c:catAx>
      <c:valAx>
        <c:axId val="988493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4628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L-06: время отклика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ряды'!D396</c:f>
              <c:strCache>
                <c:ptCount val="1"/>
                <c:pt idx="0">
                  <c:v>p95, мс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ряды'!$A$397:$A$442</c:f>
              <c:strCache>
                <c:ptCount val="4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</c:strCache>
            </c:strRef>
          </c:cat>
          <c:val>
            <c:numRef>
              <c:f>'Временные ряды'!$D$397:$D$442</c:f>
              <c:numCache>
                <c:formatCode>General</c:formatCode>
                <c:ptCount val="46"/>
                <c:pt idx="0">
                  <c:v>109.7</c:v>
                </c:pt>
                <c:pt idx="1">
                  <c:v>107.3</c:v>
                </c:pt>
                <c:pt idx="2">
                  <c:v>110.3</c:v>
                </c:pt>
                <c:pt idx="3">
                  <c:v>105.6</c:v>
                </c:pt>
                <c:pt idx="4">
                  <c:v>109.1</c:v>
                </c:pt>
                <c:pt idx="5">
                  <c:v>107.7</c:v>
                </c:pt>
                <c:pt idx="6">
                  <c:v>97.9</c:v>
                </c:pt>
                <c:pt idx="7">
                  <c:v>98</c:v>
                </c:pt>
                <c:pt idx="8">
                  <c:v>95.2</c:v>
                </c:pt>
                <c:pt idx="9">
                  <c:v>94</c:v>
                </c:pt>
                <c:pt idx="10">
                  <c:v>96.5</c:v>
                </c:pt>
                <c:pt idx="11">
                  <c:v>94.9</c:v>
                </c:pt>
                <c:pt idx="12">
                  <c:v>80.1</c:v>
                </c:pt>
                <c:pt idx="13">
                  <c:v>81.1</c:v>
                </c:pt>
                <c:pt idx="14">
                  <c:v>83.4</c:v>
                </c:pt>
                <c:pt idx="15">
                  <c:v>86.1</c:v>
                </c:pt>
                <c:pt idx="16">
                  <c:v>86.6</c:v>
                </c:pt>
                <c:pt idx="17">
                  <c:v>86.8</c:v>
                </c:pt>
                <c:pt idx="18">
                  <c:v>87.3</c:v>
                </c:pt>
                <c:pt idx="19">
                  <c:v>87.8</c:v>
                </c:pt>
                <c:pt idx="20">
                  <c:v>85.6</c:v>
                </c:pt>
                <c:pt idx="21">
                  <c:v>85.4</c:v>
                </c:pt>
                <c:pt idx="22">
                  <c:v>85.5</c:v>
                </c:pt>
                <c:pt idx="23">
                  <c:v>86.1</c:v>
                </c:pt>
                <c:pt idx="24">
                  <c:v>84.5</c:v>
                </c:pt>
                <c:pt idx="25">
                  <c:v>85.1</c:v>
                </c:pt>
                <c:pt idx="26">
                  <c:v>86.2</c:v>
                </c:pt>
                <c:pt idx="27">
                  <c:v>86.7</c:v>
                </c:pt>
                <c:pt idx="28">
                  <c:v>85.9</c:v>
                </c:pt>
                <c:pt idx="29">
                  <c:v>87</c:v>
                </c:pt>
                <c:pt idx="30">
                  <c:v>86.4</c:v>
                </c:pt>
                <c:pt idx="31">
                  <c:v>86.1</c:v>
                </c:pt>
                <c:pt idx="32">
                  <c:v>86</c:v>
                </c:pt>
                <c:pt idx="33">
                  <c:v>87.1</c:v>
                </c:pt>
                <c:pt idx="34">
                  <c:v>86.4</c:v>
                </c:pt>
                <c:pt idx="35">
                  <c:v>87.8</c:v>
                </c:pt>
                <c:pt idx="36">
                  <c:v>87.4</c:v>
                </c:pt>
                <c:pt idx="37">
                  <c:v>88</c:v>
                </c:pt>
                <c:pt idx="38">
                  <c:v>101.3</c:v>
                </c:pt>
                <c:pt idx="39">
                  <c:v>100</c:v>
                </c:pt>
                <c:pt idx="40">
                  <c:v>321.1</c:v>
                </c:pt>
                <c:pt idx="41">
                  <c:v>702.7</c:v>
                </c:pt>
                <c:pt idx="42">
                  <c:v>772.1</c:v>
                </c:pt>
                <c:pt idx="43">
                  <c:v>1046.7</c:v>
                </c:pt>
                <c:pt idx="44">
                  <c:v>1061.9</c:v>
                </c:pt>
                <c:pt idx="45">
                  <c:v>921.5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ряды'!E396</c:f>
              <c:strCache>
                <c:ptCount val="1"/>
                <c:pt idx="0">
                  <c:v>Avg, мс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ряды'!$A$397:$A$442</c:f>
              <c:strCache>
                <c:ptCount val="4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</c:strCache>
            </c:strRef>
          </c:cat>
          <c:val>
            <c:numRef>
              <c:f>'Временные ряды'!$E$397:$E$442</c:f>
              <c:numCache>
                <c:formatCode>General</c:formatCode>
                <c:ptCount val="46"/>
                <c:pt idx="0">
                  <c:v>100.7</c:v>
                </c:pt>
                <c:pt idx="1">
                  <c:v>104.7</c:v>
                </c:pt>
                <c:pt idx="2">
                  <c:v>105.5</c:v>
                </c:pt>
                <c:pt idx="3">
                  <c:v>103.7</c:v>
                </c:pt>
                <c:pt idx="4">
                  <c:v>105.1</c:v>
                </c:pt>
                <c:pt idx="5">
                  <c:v>93.7</c:v>
                </c:pt>
                <c:pt idx="6">
                  <c:v>90.3</c:v>
                </c:pt>
                <c:pt idx="7">
                  <c:v>90.1</c:v>
                </c:pt>
                <c:pt idx="8">
                  <c:v>91.4</c:v>
                </c:pt>
                <c:pt idx="9">
                  <c:v>91.6</c:v>
                </c:pt>
                <c:pt idx="10">
                  <c:v>91.4</c:v>
                </c:pt>
                <c:pt idx="11">
                  <c:v>89.2</c:v>
                </c:pt>
                <c:pt idx="12">
                  <c:v>77.8</c:v>
                </c:pt>
                <c:pt idx="13">
                  <c:v>77.4</c:v>
                </c:pt>
                <c:pt idx="14">
                  <c:v>79.2</c:v>
                </c:pt>
                <c:pt idx="15">
                  <c:v>81</c:v>
                </c:pt>
                <c:pt idx="16">
                  <c:v>81</c:v>
                </c:pt>
                <c:pt idx="17">
                  <c:v>81.3</c:v>
                </c:pt>
                <c:pt idx="18">
                  <c:v>80.8</c:v>
                </c:pt>
                <c:pt idx="19">
                  <c:v>79.8</c:v>
                </c:pt>
                <c:pt idx="20">
                  <c:v>80.5</c:v>
                </c:pt>
                <c:pt idx="21">
                  <c:v>79.7</c:v>
                </c:pt>
                <c:pt idx="22">
                  <c:v>80.2</c:v>
                </c:pt>
                <c:pt idx="23">
                  <c:v>80.4</c:v>
                </c:pt>
                <c:pt idx="24">
                  <c:v>80.1</c:v>
                </c:pt>
                <c:pt idx="25">
                  <c:v>79</c:v>
                </c:pt>
                <c:pt idx="26">
                  <c:v>81.4</c:v>
                </c:pt>
                <c:pt idx="27">
                  <c:v>82</c:v>
                </c:pt>
                <c:pt idx="28">
                  <c:v>81.3</c:v>
                </c:pt>
                <c:pt idx="29">
                  <c:v>81.5</c:v>
                </c:pt>
                <c:pt idx="30">
                  <c:v>81.2</c:v>
                </c:pt>
                <c:pt idx="31">
                  <c:v>80.4</c:v>
                </c:pt>
                <c:pt idx="32">
                  <c:v>80.8</c:v>
                </c:pt>
                <c:pt idx="33">
                  <c:v>81.9</c:v>
                </c:pt>
                <c:pt idx="34">
                  <c:v>81.5</c:v>
                </c:pt>
                <c:pt idx="35">
                  <c:v>82.9</c:v>
                </c:pt>
                <c:pt idx="36">
                  <c:v>82.8</c:v>
                </c:pt>
                <c:pt idx="37">
                  <c:v>83.1</c:v>
                </c:pt>
                <c:pt idx="38">
                  <c:v>86.1</c:v>
                </c:pt>
                <c:pt idx="39">
                  <c:v>92.5</c:v>
                </c:pt>
                <c:pt idx="40">
                  <c:v>153</c:v>
                </c:pt>
                <c:pt idx="41">
                  <c:v>557.5</c:v>
                </c:pt>
                <c:pt idx="42">
                  <c:v>701.8</c:v>
                </c:pt>
                <c:pt idx="43">
                  <c:v>829.9</c:v>
                </c:pt>
                <c:pt idx="44">
                  <c:v>933.8</c:v>
                </c:pt>
                <c:pt idx="45">
                  <c:v>861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829654"/>
        <c:axId val="9411080"/>
      </c:lineChart>
      <c:catAx>
        <c:axId val="498296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11080"/>
        <c:crosses val="autoZero"/>
        <c:auto val="1"/>
        <c:lblAlgn val="ctr"/>
        <c:lblOffset val="100"/>
        <c:noMultiLvlLbl val="0"/>
      </c:catAx>
      <c:valAx>
        <c:axId val="94110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82965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L-06: CPU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ряды'!G396</c:f>
              <c:strCache>
                <c:ptCount val="1"/>
                <c:pt idx="0">
                  <c:v>CPU java, %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ряды'!$A$397:$A$442</c:f>
              <c:strCache>
                <c:ptCount val="4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</c:strCache>
            </c:strRef>
          </c:cat>
          <c:val>
            <c:numRef>
              <c:f>'Временные ряды'!$G$397:$G$442</c:f>
              <c:numCache>
                <c:formatCode>General</c:formatCode>
                <c:ptCount val="46"/>
                <c:pt idx="0">
                  <c:v>31.5</c:v>
                </c:pt>
                <c:pt idx="1">
                  <c:v>63.3</c:v>
                </c:pt>
                <c:pt idx="2">
                  <c:v>72.2</c:v>
                </c:pt>
                <c:pt idx="3">
                  <c:v>80.1</c:v>
                </c:pt>
                <c:pt idx="4">
                  <c:v>91.2</c:v>
                </c:pt>
                <c:pt idx="5">
                  <c:v>86.3</c:v>
                </c:pt>
                <c:pt idx="6">
                  <c:v>84</c:v>
                </c:pt>
                <c:pt idx="7">
                  <c:v>48.2</c:v>
                </c:pt>
                <c:pt idx="8">
                  <c:v>85.3</c:v>
                </c:pt>
                <c:pt idx="9">
                  <c:v>85.6</c:v>
                </c:pt>
                <c:pt idx="10">
                  <c:v>84.9</c:v>
                </c:pt>
                <c:pt idx="11">
                  <c:v>86</c:v>
                </c:pt>
                <c:pt idx="12">
                  <c:v>95.2</c:v>
                </c:pt>
                <c:pt idx="13">
                  <c:v>76.6</c:v>
                </c:pt>
                <c:pt idx="14">
                  <c:v>139.1</c:v>
                </c:pt>
                <c:pt idx="15">
                  <c:v>158.5</c:v>
                </c:pt>
                <c:pt idx="16">
                  <c:v>177.3</c:v>
                </c:pt>
                <c:pt idx="17">
                  <c:v>189.6</c:v>
                </c:pt>
                <c:pt idx="18">
                  <c:v>188.8</c:v>
                </c:pt>
                <c:pt idx="19">
                  <c:v>122.7</c:v>
                </c:pt>
                <c:pt idx="20">
                  <c:v>187.5</c:v>
                </c:pt>
                <c:pt idx="21">
                  <c:v>187.2</c:v>
                </c:pt>
                <c:pt idx="22">
                  <c:v>190.9</c:v>
                </c:pt>
                <c:pt idx="23">
                  <c:v>216.5</c:v>
                </c:pt>
                <c:pt idx="24">
                  <c:v>245.9</c:v>
                </c:pt>
                <c:pt idx="25">
                  <c:v>177.8</c:v>
                </c:pt>
                <c:pt idx="26">
                  <c:v>329.7</c:v>
                </c:pt>
                <c:pt idx="27">
                  <c:v>356.9</c:v>
                </c:pt>
                <c:pt idx="28">
                  <c:v>380.9</c:v>
                </c:pt>
                <c:pt idx="29">
                  <c:v>383.2</c:v>
                </c:pt>
                <c:pt idx="30">
                  <c:v>379.7</c:v>
                </c:pt>
                <c:pt idx="31">
                  <c:v>227.5</c:v>
                </c:pt>
                <c:pt idx="32">
                  <c:v>379.4</c:v>
                </c:pt>
                <c:pt idx="33">
                  <c:v>384.1</c:v>
                </c:pt>
                <c:pt idx="34">
                  <c:v>412.2</c:v>
                </c:pt>
                <c:pt idx="35">
                  <c:v>487.1</c:v>
                </c:pt>
                <c:pt idx="36">
                  <c:v>559.4</c:v>
                </c:pt>
                <c:pt idx="37">
                  <c:v>387.5</c:v>
                </c:pt>
                <c:pt idx="38">
                  <c:v>746.9</c:v>
                </c:pt>
                <c:pt idx="39">
                  <c:v>858.8</c:v>
                </c:pt>
                <c:pt idx="40">
                  <c:v>923</c:v>
                </c:pt>
                <c:pt idx="41">
                  <c:v>949.4</c:v>
                </c:pt>
                <c:pt idx="42">
                  <c:v>945.5</c:v>
                </c:pt>
                <c:pt idx="43">
                  <c:v>578.9</c:v>
                </c:pt>
                <c:pt idx="44">
                  <c:v>948.6</c:v>
                </c:pt>
                <c:pt idx="45">
                  <c:v>668.8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ряды'!H396</c:f>
              <c:strCache>
                <c:ptCount val="1"/>
                <c:pt idx="0">
                  <c:v>CPU mysqld, %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ряды'!$A$397:$A$442</c:f>
              <c:strCache>
                <c:ptCount val="4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</c:strCache>
            </c:strRef>
          </c:cat>
          <c:val>
            <c:numRef>
              <c:f>'Временные ряды'!$H$397:$H$442</c:f>
              <c:numCache>
                <c:formatCode>General</c:formatCode>
                <c:ptCount val="46"/>
                <c:pt idx="0">
                  <c:v>1.4</c:v>
                </c:pt>
                <c:pt idx="1">
                  <c:v>2.4</c:v>
                </c:pt>
                <c:pt idx="2">
                  <c:v>2.6</c:v>
                </c:pt>
                <c:pt idx="3">
                  <c:v>2.4</c:v>
                </c:pt>
                <c:pt idx="4">
                  <c:v>2.5</c:v>
                </c:pt>
                <c:pt idx="5">
                  <c:v>2.4</c:v>
                </c:pt>
                <c:pt idx="6">
                  <c:v>2.4</c:v>
                </c:pt>
                <c:pt idx="7">
                  <c:v>1.2</c:v>
                </c:pt>
                <c:pt idx="8">
                  <c:v>2.6</c:v>
                </c:pt>
                <c:pt idx="9">
                  <c:v>2.4</c:v>
                </c:pt>
                <c:pt idx="10">
                  <c:v>2.4</c:v>
                </c:pt>
                <c:pt idx="11">
                  <c:v>2.6</c:v>
                </c:pt>
                <c:pt idx="12">
                  <c:v>2.4</c:v>
                </c:pt>
                <c:pt idx="13">
                  <c:v>1.2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3.2</c:v>
                </c:pt>
                <c:pt idx="18">
                  <c:v>3.2</c:v>
                </c:pt>
                <c:pt idx="19">
                  <c:v>2.1</c:v>
                </c:pt>
                <c:pt idx="20">
                  <c:v>3</c:v>
                </c:pt>
                <c:pt idx="21">
                  <c:v>3</c:v>
                </c:pt>
                <c:pt idx="22">
                  <c:v>2.9</c:v>
                </c:pt>
                <c:pt idx="23">
                  <c:v>3.3</c:v>
                </c:pt>
                <c:pt idx="24">
                  <c:v>3.2</c:v>
                </c:pt>
                <c:pt idx="25">
                  <c:v>2</c:v>
                </c:pt>
                <c:pt idx="26">
                  <c:v>3.8</c:v>
                </c:pt>
                <c:pt idx="27">
                  <c:v>3.7</c:v>
                </c:pt>
                <c:pt idx="28">
                  <c:v>4.1</c:v>
                </c:pt>
                <c:pt idx="29">
                  <c:v>3.9</c:v>
                </c:pt>
                <c:pt idx="30">
                  <c:v>4.1</c:v>
                </c:pt>
                <c:pt idx="31">
                  <c:v>1.9</c:v>
                </c:pt>
                <c:pt idx="32">
                  <c:v>4.1</c:v>
                </c:pt>
                <c:pt idx="33">
                  <c:v>3.9</c:v>
                </c:pt>
                <c:pt idx="34">
                  <c:v>4.3</c:v>
                </c:pt>
                <c:pt idx="35">
                  <c:v>5.1</c:v>
                </c:pt>
                <c:pt idx="36">
                  <c:v>5.1</c:v>
                </c:pt>
                <c:pt idx="37">
                  <c:v>3.3</c:v>
                </c:pt>
                <c:pt idx="38">
                  <c:v>6.7</c:v>
                </c:pt>
                <c:pt idx="39">
                  <c:v>7.1</c:v>
                </c:pt>
                <c:pt idx="40">
                  <c:v>8</c:v>
                </c:pt>
                <c:pt idx="41">
                  <c:v>8.9</c:v>
                </c:pt>
                <c:pt idx="42">
                  <c:v>8.7</c:v>
                </c:pt>
                <c:pt idx="43">
                  <c:v>5.4</c:v>
                </c:pt>
                <c:pt idx="44">
                  <c:v>8.3</c:v>
                </c:pt>
                <c:pt idx="45">
                  <c:v>5.9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'Временные ряды'!I396</c:f>
              <c:strCache>
                <c:ptCount val="1"/>
                <c:pt idx="0">
                  <c:v>CPU машины, 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ряды'!$A$397:$A$442</c:f>
              <c:strCache>
                <c:ptCount val="4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</c:strCache>
            </c:strRef>
          </c:cat>
          <c:val>
            <c:numRef>
              <c:f>'Временные ряды'!$I$397:$I$442</c:f>
              <c:numCache>
                <c:formatCode>General</c:formatCode>
                <c:ptCount val="46"/>
                <c:pt idx="0">
                  <c:v>4.3</c:v>
                </c:pt>
                <c:pt idx="1">
                  <c:v>4.7</c:v>
                </c:pt>
                <c:pt idx="2">
                  <c:v>5.3</c:v>
                </c:pt>
                <c:pt idx="3">
                  <c:v>5.8</c:v>
                </c:pt>
                <c:pt idx="4">
                  <c:v>6.5</c:v>
                </c:pt>
                <c:pt idx="5">
                  <c:v>6.4</c:v>
                </c:pt>
                <c:pt idx="6">
                  <c:v>5.9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6.1</c:v>
                </c:pt>
                <c:pt idx="11">
                  <c:v>6.3</c:v>
                </c:pt>
                <c:pt idx="12">
                  <c:v>6.8</c:v>
                </c:pt>
                <c:pt idx="13">
                  <c:v>8.7</c:v>
                </c:pt>
                <c:pt idx="14">
                  <c:v>10.2</c:v>
                </c:pt>
                <c:pt idx="15">
                  <c:v>11.3</c:v>
                </c:pt>
                <c:pt idx="16">
                  <c:v>12.4</c:v>
                </c:pt>
                <c:pt idx="17">
                  <c:v>13</c:v>
                </c:pt>
                <c:pt idx="18">
                  <c:v>12.9</c:v>
                </c:pt>
                <c:pt idx="19">
                  <c:v>13.4</c:v>
                </c:pt>
                <c:pt idx="20">
                  <c:v>13.3</c:v>
                </c:pt>
                <c:pt idx="21">
                  <c:v>13.5</c:v>
                </c:pt>
                <c:pt idx="22">
                  <c:v>13.1</c:v>
                </c:pt>
                <c:pt idx="23">
                  <c:v>15</c:v>
                </c:pt>
                <c:pt idx="24">
                  <c:v>17</c:v>
                </c:pt>
                <c:pt idx="25">
                  <c:v>19.4</c:v>
                </c:pt>
                <c:pt idx="26">
                  <c:v>22.5</c:v>
                </c:pt>
                <c:pt idx="27">
                  <c:v>24.5</c:v>
                </c:pt>
                <c:pt idx="28">
                  <c:v>25.9</c:v>
                </c:pt>
                <c:pt idx="29">
                  <c:v>26</c:v>
                </c:pt>
                <c:pt idx="30">
                  <c:v>25.8</c:v>
                </c:pt>
                <c:pt idx="31">
                  <c:v>26.3</c:v>
                </c:pt>
                <c:pt idx="32">
                  <c:v>25.9</c:v>
                </c:pt>
                <c:pt idx="33">
                  <c:v>26.1</c:v>
                </c:pt>
                <c:pt idx="34">
                  <c:v>27.9</c:v>
                </c:pt>
                <c:pt idx="35">
                  <c:v>33</c:v>
                </c:pt>
                <c:pt idx="36">
                  <c:v>38.1</c:v>
                </c:pt>
                <c:pt idx="37">
                  <c:v>43</c:v>
                </c:pt>
                <c:pt idx="38">
                  <c:v>50.5</c:v>
                </c:pt>
                <c:pt idx="39">
                  <c:v>58.1</c:v>
                </c:pt>
                <c:pt idx="40">
                  <c:v>62.3</c:v>
                </c:pt>
                <c:pt idx="41">
                  <c:v>64.7</c:v>
                </c:pt>
                <c:pt idx="42">
                  <c:v>64.4</c:v>
                </c:pt>
                <c:pt idx="43">
                  <c:v>64.3</c:v>
                </c:pt>
                <c:pt idx="44">
                  <c:v>64.2</c:v>
                </c:pt>
                <c:pt idx="45">
                  <c:v>45.2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569483"/>
        <c:axId val="94446900"/>
      </c:lineChart>
      <c:catAx>
        <c:axId val="785694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446900"/>
        <c:crosses val="autoZero"/>
        <c:auto val="1"/>
        <c:lblAlgn val="ctr"/>
        <c:lblOffset val="100"/>
        <c:noMultiLvlLbl val="0"/>
      </c:catAx>
      <c:valAx>
        <c:axId val="944469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56948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L-07: VU и RPS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ряды'!B446</c:f>
              <c:strCache>
                <c:ptCount val="1"/>
                <c:pt idx="0">
                  <c:v>VU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ряды'!$A$447:$A$484</c:f>
              <c:strCache>
                <c:ptCount val="3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</c:strCache>
            </c:strRef>
          </c:cat>
          <c:val>
            <c:numRef>
              <c:f>'Временные ряды'!$B$447:$B$484</c:f>
              <c:numCache>
                <c:formatCode>General</c:formatCode>
                <c:ptCount val="38"/>
                <c:pt idx="0">
                  <c:v>60</c:v>
                </c:pt>
                <c:pt idx="1">
                  <c:v>59</c:v>
                </c:pt>
                <c:pt idx="2">
                  <c:v>58</c:v>
                </c:pt>
                <c:pt idx="3">
                  <c:v>56</c:v>
                </c:pt>
                <c:pt idx="4">
                  <c:v>55</c:v>
                </c:pt>
                <c:pt idx="5">
                  <c:v>53</c:v>
                </c:pt>
                <c:pt idx="6">
                  <c:v>52</c:v>
                </c:pt>
                <c:pt idx="7">
                  <c:v>50</c:v>
                </c:pt>
                <c:pt idx="8">
                  <c:v>49</c:v>
                </c:pt>
                <c:pt idx="9">
                  <c:v>47</c:v>
                </c:pt>
                <c:pt idx="10">
                  <c:v>45</c:v>
                </c:pt>
                <c:pt idx="11">
                  <c:v>44</c:v>
                </c:pt>
                <c:pt idx="12">
                  <c:v>42</c:v>
                </c:pt>
                <c:pt idx="13">
                  <c:v>40</c:v>
                </c:pt>
                <c:pt idx="14">
                  <c:v>39</c:v>
                </c:pt>
                <c:pt idx="15">
                  <c:v>37</c:v>
                </c:pt>
                <c:pt idx="16">
                  <c:v>36</c:v>
                </c:pt>
                <c:pt idx="17">
                  <c:v>35</c:v>
                </c:pt>
                <c:pt idx="18">
                  <c:v>33</c:v>
                </c:pt>
                <c:pt idx="19">
                  <c:v>32</c:v>
                </c:pt>
                <c:pt idx="20">
                  <c:v>30</c:v>
                </c:pt>
                <c:pt idx="21">
                  <c:v>28</c:v>
                </c:pt>
                <c:pt idx="22">
                  <c:v>27</c:v>
                </c:pt>
                <c:pt idx="23">
                  <c:v>25</c:v>
                </c:pt>
                <c:pt idx="24">
                  <c:v>23</c:v>
                </c:pt>
                <c:pt idx="25">
                  <c:v>22</c:v>
                </c:pt>
                <c:pt idx="26">
                  <c:v>20</c:v>
                </c:pt>
                <c:pt idx="27">
                  <c:v>18</c:v>
                </c:pt>
                <c:pt idx="28">
                  <c:v>17</c:v>
                </c:pt>
                <c:pt idx="29">
                  <c:v>15</c:v>
                </c:pt>
                <c:pt idx="30">
                  <c:v>14</c:v>
                </c:pt>
                <c:pt idx="31">
                  <c:v>12</c:v>
                </c:pt>
                <c:pt idx="32">
                  <c:v>10</c:v>
                </c:pt>
                <c:pt idx="33">
                  <c:v>9</c:v>
                </c:pt>
                <c:pt idx="34">
                  <c:v>7</c:v>
                </c:pt>
                <c:pt idx="35">
                  <c:v>6</c:v>
                </c:pt>
                <c:pt idx="36">
                  <c:v>4</c:v>
                </c:pt>
                <c:pt idx="37">
                  <c:v>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ряды'!C446</c:f>
              <c:strCache>
                <c:ptCount val="1"/>
                <c:pt idx="0">
                  <c:v>RPS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ряды'!$A$447:$A$484</c:f>
              <c:strCache>
                <c:ptCount val="3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</c:strCache>
            </c:strRef>
          </c:cat>
          <c:val>
            <c:numRef>
              <c:f>'Временные ряды'!$C$447:$C$484</c:f>
              <c:numCache>
                <c:formatCode>General</c:formatCode>
                <c:ptCount val="38"/>
                <c:pt idx="0">
                  <c:v>39.6</c:v>
                </c:pt>
                <c:pt idx="1">
                  <c:v>32</c:v>
                </c:pt>
                <c:pt idx="2">
                  <c:v>23.8</c:v>
                </c:pt>
                <c:pt idx="3">
                  <c:v>33</c:v>
                </c:pt>
                <c:pt idx="4">
                  <c:v>21.8</c:v>
                </c:pt>
                <c:pt idx="5">
                  <c:v>31.8</c:v>
                </c:pt>
                <c:pt idx="6">
                  <c:v>20.6</c:v>
                </c:pt>
                <c:pt idx="7">
                  <c:v>29.8</c:v>
                </c:pt>
                <c:pt idx="8">
                  <c:v>19.4</c:v>
                </c:pt>
                <c:pt idx="9">
                  <c:v>28</c:v>
                </c:pt>
                <c:pt idx="10">
                  <c:v>18</c:v>
                </c:pt>
                <c:pt idx="11">
                  <c:v>26.2</c:v>
                </c:pt>
                <c:pt idx="12">
                  <c:v>16.8</c:v>
                </c:pt>
                <c:pt idx="13">
                  <c:v>24.2</c:v>
                </c:pt>
                <c:pt idx="14">
                  <c:v>15.6</c:v>
                </c:pt>
                <c:pt idx="15">
                  <c:v>22.4</c:v>
                </c:pt>
                <c:pt idx="16">
                  <c:v>14.2</c:v>
                </c:pt>
                <c:pt idx="17">
                  <c:v>20.4</c:v>
                </c:pt>
                <c:pt idx="18">
                  <c:v>13</c:v>
                </c:pt>
                <c:pt idx="19">
                  <c:v>18.6</c:v>
                </c:pt>
                <c:pt idx="20">
                  <c:v>11.8</c:v>
                </c:pt>
                <c:pt idx="21">
                  <c:v>16.6</c:v>
                </c:pt>
                <c:pt idx="22">
                  <c:v>10.6</c:v>
                </c:pt>
                <c:pt idx="23">
                  <c:v>14.8</c:v>
                </c:pt>
                <c:pt idx="24">
                  <c:v>9.4</c:v>
                </c:pt>
                <c:pt idx="25">
                  <c:v>12.6</c:v>
                </c:pt>
                <c:pt idx="26">
                  <c:v>11.8</c:v>
                </c:pt>
                <c:pt idx="27">
                  <c:v>7.2</c:v>
                </c:pt>
                <c:pt idx="28">
                  <c:v>7.6</c:v>
                </c:pt>
                <c:pt idx="29">
                  <c:v>8.2</c:v>
                </c:pt>
                <c:pt idx="30">
                  <c:v>5.4</c:v>
                </c:pt>
                <c:pt idx="31">
                  <c:v>9.4</c:v>
                </c:pt>
                <c:pt idx="32">
                  <c:v>3.8</c:v>
                </c:pt>
                <c:pt idx="33">
                  <c:v>5</c:v>
                </c:pt>
                <c:pt idx="34">
                  <c:v>2.6</c:v>
                </c:pt>
                <c:pt idx="35">
                  <c:v>3</c:v>
                </c:pt>
                <c:pt idx="36">
                  <c:v>1.4</c:v>
                </c:pt>
                <c:pt idx="37">
                  <c:v>1.2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842352"/>
        <c:axId val="99155404"/>
      </c:lineChart>
      <c:catAx>
        <c:axId val="918423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155404"/>
        <c:crosses val="autoZero"/>
        <c:auto val="1"/>
        <c:lblAlgn val="ctr"/>
        <c:lblOffset val="100"/>
        <c:noMultiLvlLbl val="0"/>
      </c:catAx>
      <c:valAx>
        <c:axId val="991554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84235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L-07: время отклика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ряды'!D446</c:f>
              <c:strCache>
                <c:ptCount val="1"/>
                <c:pt idx="0">
                  <c:v>p95, мс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ряды'!$A$447:$A$484</c:f>
              <c:strCache>
                <c:ptCount val="3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</c:strCache>
            </c:strRef>
          </c:cat>
          <c:val>
            <c:numRef>
              <c:f>'Временные ряды'!$D$447:$D$484</c:f>
              <c:numCache>
                <c:formatCode>General</c:formatCode>
                <c:ptCount val="38"/>
                <c:pt idx="0">
                  <c:v>237.7</c:v>
                </c:pt>
                <c:pt idx="1">
                  <c:v>20.4</c:v>
                </c:pt>
                <c:pt idx="2">
                  <c:v>25.4</c:v>
                </c:pt>
                <c:pt idx="3">
                  <c:v>39.9</c:v>
                </c:pt>
                <c:pt idx="4">
                  <c:v>41.1</c:v>
                </c:pt>
                <c:pt idx="5">
                  <c:v>22.4</c:v>
                </c:pt>
                <c:pt idx="6">
                  <c:v>15.4</c:v>
                </c:pt>
                <c:pt idx="7">
                  <c:v>19.2</c:v>
                </c:pt>
                <c:pt idx="8">
                  <c:v>26.8</c:v>
                </c:pt>
                <c:pt idx="9">
                  <c:v>34.8</c:v>
                </c:pt>
                <c:pt idx="10">
                  <c:v>19.8</c:v>
                </c:pt>
                <c:pt idx="11">
                  <c:v>22.4</c:v>
                </c:pt>
                <c:pt idx="12">
                  <c:v>17.2</c:v>
                </c:pt>
                <c:pt idx="13">
                  <c:v>13.4</c:v>
                </c:pt>
                <c:pt idx="14">
                  <c:v>16.6</c:v>
                </c:pt>
                <c:pt idx="15">
                  <c:v>10</c:v>
                </c:pt>
                <c:pt idx="16">
                  <c:v>18.7</c:v>
                </c:pt>
                <c:pt idx="17">
                  <c:v>10.9</c:v>
                </c:pt>
                <c:pt idx="18">
                  <c:v>13.5</c:v>
                </c:pt>
                <c:pt idx="19">
                  <c:v>11.4</c:v>
                </c:pt>
                <c:pt idx="20">
                  <c:v>11.4</c:v>
                </c:pt>
                <c:pt idx="21">
                  <c:v>15.8</c:v>
                </c:pt>
                <c:pt idx="22">
                  <c:v>17.8</c:v>
                </c:pt>
                <c:pt idx="23">
                  <c:v>23</c:v>
                </c:pt>
                <c:pt idx="24">
                  <c:v>14.9</c:v>
                </c:pt>
                <c:pt idx="25">
                  <c:v>17.3</c:v>
                </c:pt>
                <c:pt idx="26">
                  <c:v>18.1</c:v>
                </c:pt>
                <c:pt idx="27">
                  <c:v>21.8</c:v>
                </c:pt>
                <c:pt idx="28">
                  <c:v>31.6</c:v>
                </c:pt>
                <c:pt idx="29">
                  <c:v>30.8</c:v>
                </c:pt>
                <c:pt idx="30">
                  <c:v>18.4</c:v>
                </c:pt>
                <c:pt idx="31">
                  <c:v>18.2</c:v>
                </c:pt>
                <c:pt idx="32">
                  <c:v>13.2</c:v>
                </c:pt>
                <c:pt idx="33">
                  <c:v>11.8</c:v>
                </c:pt>
                <c:pt idx="34">
                  <c:v>12.5</c:v>
                </c:pt>
                <c:pt idx="35">
                  <c:v>11.6</c:v>
                </c:pt>
                <c:pt idx="36">
                  <c:v>10.6</c:v>
                </c:pt>
                <c:pt idx="37">
                  <c:v>10.1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ряды'!E446</c:f>
              <c:strCache>
                <c:ptCount val="1"/>
                <c:pt idx="0">
                  <c:v>Avg, мс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ряды'!$A$447:$A$484</c:f>
              <c:strCache>
                <c:ptCount val="3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</c:strCache>
            </c:strRef>
          </c:cat>
          <c:val>
            <c:numRef>
              <c:f>'Временные ряды'!$E$447:$E$484</c:f>
              <c:numCache>
                <c:formatCode>General</c:formatCode>
                <c:ptCount val="38"/>
                <c:pt idx="0">
                  <c:v>82.9</c:v>
                </c:pt>
                <c:pt idx="1">
                  <c:v>10.4</c:v>
                </c:pt>
                <c:pt idx="2">
                  <c:v>14</c:v>
                </c:pt>
                <c:pt idx="3">
                  <c:v>16.2</c:v>
                </c:pt>
                <c:pt idx="4">
                  <c:v>18.1</c:v>
                </c:pt>
                <c:pt idx="5">
                  <c:v>12.1</c:v>
                </c:pt>
                <c:pt idx="6">
                  <c:v>10.5</c:v>
                </c:pt>
                <c:pt idx="7">
                  <c:v>10.7</c:v>
                </c:pt>
                <c:pt idx="8">
                  <c:v>15.2</c:v>
                </c:pt>
                <c:pt idx="9">
                  <c:v>15.8</c:v>
                </c:pt>
                <c:pt idx="10">
                  <c:v>11.7</c:v>
                </c:pt>
                <c:pt idx="11">
                  <c:v>14.1</c:v>
                </c:pt>
                <c:pt idx="12">
                  <c:v>11.5</c:v>
                </c:pt>
                <c:pt idx="13">
                  <c:v>10.1</c:v>
                </c:pt>
                <c:pt idx="14">
                  <c:v>10.5</c:v>
                </c:pt>
                <c:pt idx="15">
                  <c:v>8.2</c:v>
                </c:pt>
                <c:pt idx="16">
                  <c:v>11.2</c:v>
                </c:pt>
                <c:pt idx="17">
                  <c:v>8</c:v>
                </c:pt>
                <c:pt idx="18">
                  <c:v>8.8</c:v>
                </c:pt>
                <c:pt idx="19">
                  <c:v>8.8</c:v>
                </c:pt>
                <c:pt idx="20">
                  <c:v>9</c:v>
                </c:pt>
                <c:pt idx="21">
                  <c:v>10.6</c:v>
                </c:pt>
                <c:pt idx="22">
                  <c:v>12.8</c:v>
                </c:pt>
                <c:pt idx="23">
                  <c:v>15.1</c:v>
                </c:pt>
                <c:pt idx="24">
                  <c:v>11.4</c:v>
                </c:pt>
                <c:pt idx="25">
                  <c:v>12.1</c:v>
                </c:pt>
                <c:pt idx="26">
                  <c:v>11.7</c:v>
                </c:pt>
                <c:pt idx="27">
                  <c:v>15.7</c:v>
                </c:pt>
                <c:pt idx="28">
                  <c:v>23.7</c:v>
                </c:pt>
                <c:pt idx="29">
                  <c:v>20.2</c:v>
                </c:pt>
                <c:pt idx="30">
                  <c:v>14.2</c:v>
                </c:pt>
                <c:pt idx="31">
                  <c:v>12</c:v>
                </c:pt>
                <c:pt idx="32">
                  <c:v>9.8</c:v>
                </c:pt>
                <c:pt idx="33">
                  <c:v>10.2</c:v>
                </c:pt>
                <c:pt idx="34">
                  <c:v>10.9</c:v>
                </c:pt>
                <c:pt idx="35">
                  <c:v>10.4</c:v>
                </c:pt>
                <c:pt idx="36">
                  <c:v>10</c:v>
                </c:pt>
                <c:pt idx="37">
                  <c:v>9.5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78066"/>
        <c:axId val="61048623"/>
      </c:lineChart>
      <c:catAx>
        <c:axId val="10780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048623"/>
        <c:crosses val="autoZero"/>
        <c:auto val="1"/>
        <c:lblAlgn val="ctr"/>
        <c:lblOffset val="100"/>
        <c:noMultiLvlLbl val="0"/>
      </c:catAx>
      <c:valAx>
        <c:axId val="610486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780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L-07: CPU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ряды'!G446</c:f>
              <c:strCache>
                <c:ptCount val="1"/>
                <c:pt idx="0">
                  <c:v>CPU java, %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ряды'!$A$447:$A$484</c:f>
              <c:strCache>
                <c:ptCount val="3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</c:strCache>
            </c:strRef>
          </c:cat>
          <c:val>
            <c:numRef>
              <c:f>'Временные ряды'!$G$447:$G$484</c:f>
              <c:numCache>
                <c:formatCode>General</c:formatCode>
                <c:ptCount val="38"/>
                <c:pt idx="0">
                  <c:v>38</c:v>
                </c:pt>
                <c:pt idx="1">
                  <c:v>19.8</c:v>
                </c:pt>
                <c:pt idx="2">
                  <c:v>16.1</c:v>
                </c:pt>
                <c:pt idx="3">
                  <c:v>21.3</c:v>
                </c:pt>
                <c:pt idx="4">
                  <c:v>21.6</c:v>
                </c:pt>
                <c:pt idx="5">
                  <c:v>12.8</c:v>
                </c:pt>
                <c:pt idx="6">
                  <c:v>17.5</c:v>
                </c:pt>
                <c:pt idx="7">
                  <c:v>10.4</c:v>
                </c:pt>
                <c:pt idx="8">
                  <c:v>18.1</c:v>
                </c:pt>
                <c:pt idx="9">
                  <c:v>13.3</c:v>
                </c:pt>
                <c:pt idx="10">
                  <c:v>10</c:v>
                </c:pt>
                <c:pt idx="11">
                  <c:v>16.9</c:v>
                </c:pt>
                <c:pt idx="12">
                  <c:v>9.2</c:v>
                </c:pt>
                <c:pt idx="13">
                  <c:v>13.7</c:v>
                </c:pt>
                <c:pt idx="14">
                  <c:v>10.3</c:v>
                </c:pt>
                <c:pt idx="15">
                  <c:v>12.6</c:v>
                </c:pt>
                <c:pt idx="16">
                  <c:v>8.5</c:v>
                </c:pt>
                <c:pt idx="17">
                  <c:v>10.3</c:v>
                </c:pt>
                <c:pt idx="18">
                  <c:v>7.9</c:v>
                </c:pt>
                <c:pt idx="19">
                  <c:v>10.2</c:v>
                </c:pt>
                <c:pt idx="20">
                  <c:v>8.3</c:v>
                </c:pt>
                <c:pt idx="21">
                  <c:v>10.1</c:v>
                </c:pt>
                <c:pt idx="22">
                  <c:v>6.9</c:v>
                </c:pt>
                <c:pt idx="23">
                  <c:v>8.3</c:v>
                </c:pt>
                <c:pt idx="24">
                  <c:v>212.5</c:v>
                </c:pt>
                <c:pt idx="25">
                  <c:v>5.1</c:v>
                </c:pt>
                <c:pt idx="26">
                  <c:v>6.7</c:v>
                </c:pt>
                <c:pt idx="27">
                  <c:v>4.3</c:v>
                </c:pt>
                <c:pt idx="28">
                  <c:v>7.2</c:v>
                </c:pt>
                <c:pt idx="29">
                  <c:v>4.5</c:v>
                </c:pt>
                <c:pt idx="30">
                  <c:v>4.7</c:v>
                </c:pt>
                <c:pt idx="31">
                  <c:v>-0.9</c:v>
                </c:pt>
                <c:pt idx="32">
                  <c:v>2.8</c:v>
                </c:pt>
                <c:pt idx="33">
                  <c:v>3.5</c:v>
                </c:pt>
                <c:pt idx="34">
                  <c:v>2.9</c:v>
                </c:pt>
                <c:pt idx="35">
                  <c:v>2.2</c:v>
                </c:pt>
                <c:pt idx="36">
                  <c:v>2</c:v>
                </c:pt>
                <c:pt idx="37">
                  <c:v>1.3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ряды'!H446</c:f>
              <c:strCache>
                <c:ptCount val="1"/>
                <c:pt idx="0">
                  <c:v>CPU mysqld, %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ряды'!$A$447:$A$484</c:f>
              <c:strCache>
                <c:ptCount val="3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</c:strCache>
            </c:strRef>
          </c:cat>
          <c:val>
            <c:numRef>
              <c:f>'Временные ряды'!$H$447:$H$484</c:f>
              <c:numCache>
                <c:formatCode>General</c:formatCode>
                <c:ptCount val="38"/>
                <c:pt idx="0">
                  <c:v>24.1</c:v>
                </c:pt>
                <c:pt idx="1">
                  <c:v>12</c:v>
                </c:pt>
                <c:pt idx="2">
                  <c:v>9.4</c:v>
                </c:pt>
                <c:pt idx="3">
                  <c:v>11.8</c:v>
                </c:pt>
                <c:pt idx="4">
                  <c:v>12.8</c:v>
                </c:pt>
                <c:pt idx="5">
                  <c:v>8.6</c:v>
                </c:pt>
                <c:pt idx="6">
                  <c:v>10.6</c:v>
                </c:pt>
                <c:pt idx="7">
                  <c:v>7.5</c:v>
                </c:pt>
                <c:pt idx="8">
                  <c:v>11.2</c:v>
                </c:pt>
                <c:pt idx="9">
                  <c:v>8.6</c:v>
                </c:pt>
                <c:pt idx="10">
                  <c:v>6.9</c:v>
                </c:pt>
                <c:pt idx="11">
                  <c:v>9.8</c:v>
                </c:pt>
                <c:pt idx="12">
                  <c:v>6.5</c:v>
                </c:pt>
                <c:pt idx="13">
                  <c:v>8.6</c:v>
                </c:pt>
                <c:pt idx="14">
                  <c:v>6.5</c:v>
                </c:pt>
                <c:pt idx="15">
                  <c:v>8.1</c:v>
                </c:pt>
                <c:pt idx="16">
                  <c:v>5.5</c:v>
                </c:pt>
                <c:pt idx="17">
                  <c:v>7.1</c:v>
                </c:pt>
                <c:pt idx="18">
                  <c:v>5.5</c:v>
                </c:pt>
                <c:pt idx="19">
                  <c:v>7.3</c:v>
                </c:pt>
                <c:pt idx="20">
                  <c:v>6.1</c:v>
                </c:pt>
                <c:pt idx="21">
                  <c:v>6.9</c:v>
                </c:pt>
                <c:pt idx="22">
                  <c:v>5.5</c:v>
                </c:pt>
                <c:pt idx="23">
                  <c:v>6.3</c:v>
                </c:pt>
                <c:pt idx="24">
                  <c:v>157.7</c:v>
                </c:pt>
                <c:pt idx="25">
                  <c:v>4.9</c:v>
                </c:pt>
                <c:pt idx="26">
                  <c:v>5.5</c:v>
                </c:pt>
                <c:pt idx="27">
                  <c:v>3.7</c:v>
                </c:pt>
                <c:pt idx="28">
                  <c:v>5.3</c:v>
                </c:pt>
                <c:pt idx="29">
                  <c:v>4.1</c:v>
                </c:pt>
                <c:pt idx="30">
                  <c:v>4.5</c:v>
                </c:pt>
                <c:pt idx="31">
                  <c:v>0.4</c:v>
                </c:pt>
                <c:pt idx="32">
                  <c:v>3.4</c:v>
                </c:pt>
                <c:pt idx="33">
                  <c:v>3.3</c:v>
                </c:pt>
                <c:pt idx="34">
                  <c:v>3.7</c:v>
                </c:pt>
                <c:pt idx="35">
                  <c:v>2.9</c:v>
                </c:pt>
                <c:pt idx="36">
                  <c:v>2.8</c:v>
                </c:pt>
                <c:pt idx="37">
                  <c:v>2.1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'Временные ряды'!I446</c:f>
              <c:strCache>
                <c:ptCount val="1"/>
                <c:pt idx="0">
                  <c:v>CPU машины, 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ряды'!$A$447:$A$484</c:f>
              <c:strCache>
                <c:ptCount val="3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</c:strCache>
            </c:strRef>
          </c:cat>
          <c:val>
            <c:numRef>
              <c:f>'Временные ряды'!$I$447:$I$484</c:f>
              <c:numCache>
                <c:formatCode>General</c:formatCode>
                <c:ptCount val="38"/>
                <c:pt idx="0">
                  <c:v>5.2</c:v>
                </c:pt>
                <c:pt idx="1">
                  <c:v>2.8</c:v>
                </c:pt>
                <c:pt idx="2">
                  <c:v>2.5</c:v>
                </c:pt>
                <c:pt idx="3">
                  <c:v>2.8</c:v>
                </c:pt>
                <c:pt idx="4">
                  <c:v>2.8</c:v>
                </c:pt>
                <c:pt idx="5">
                  <c:v>2.1</c:v>
                </c:pt>
                <c:pt idx="6">
                  <c:v>2.4</c:v>
                </c:pt>
                <c:pt idx="7">
                  <c:v>1.9</c:v>
                </c:pt>
                <c:pt idx="8">
                  <c:v>2.3</c:v>
                </c:pt>
                <c:pt idx="9">
                  <c:v>2.2</c:v>
                </c:pt>
                <c:pt idx="10">
                  <c:v>1.5</c:v>
                </c:pt>
                <c:pt idx="11">
                  <c:v>2.5</c:v>
                </c:pt>
                <c:pt idx="12">
                  <c:v>1.7</c:v>
                </c:pt>
                <c:pt idx="13">
                  <c:v>2.1</c:v>
                </c:pt>
                <c:pt idx="14">
                  <c:v>1.6</c:v>
                </c:pt>
                <c:pt idx="15">
                  <c:v>1.8</c:v>
                </c:pt>
                <c:pt idx="16">
                  <c:v>1.4</c:v>
                </c:pt>
                <c:pt idx="17">
                  <c:v>1.4</c:v>
                </c:pt>
                <c:pt idx="18">
                  <c:v>1.5</c:v>
                </c:pt>
                <c:pt idx="19">
                  <c:v>1.7</c:v>
                </c:pt>
                <c:pt idx="20">
                  <c:v>1.4</c:v>
                </c:pt>
                <c:pt idx="21">
                  <c:v>2</c:v>
                </c:pt>
                <c:pt idx="22">
                  <c:v>1.2</c:v>
                </c:pt>
                <c:pt idx="23">
                  <c:v>1.6</c:v>
                </c:pt>
                <c:pt idx="24">
                  <c:v>1.8</c:v>
                </c:pt>
                <c:pt idx="25">
                  <c:v>1</c:v>
                </c:pt>
                <c:pt idx="26">
                  <c:v>1.5</c:v>
                </c:pt>
                <c:pt idx="27">
                  <c:v>1</c:v>
                </c:pt>
                <c:pt idx="28">
                  <c:v>1.4</c:v>
                </c:pt>
                <c:pt idx="29">
                  <c:v>1.2</c:v>
                </c:pt>
                <c:pt idx="30">
                  <c:v>1</c:v>
                </c:pt>
                <c:pt idx="31">
                  <c:v>1</c:v>
                </c:pt>
                <c:pt idx="32">
                  <c:v>1.2</c:v>
                </c:pt>
                <c:pt idx="33">
                  <c:v>1.1</c:v>
                </c:pt>
                <c:pt idx="34">
                  <c:v>1.1</c:v>
                </c:pt>
                <c:pt idx="35">
                  <c:v>0.8</c:v>
                </c:pt>
                <c:pt idx="36">
                  <c:v>0.9</c:v>
                </c:pt>
                <c:pt idx="37">
                  <c:v>0.8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503853"/>
        <c:axId val="57188018"/>
      </c:lineChart>
      <c:catAx>
        <c:axId val="225038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188018"/>
        <c:crosses val="autoZero"/>
        <c:auto val="1"/>
        <c:lblAlgn val="ctr"/>
        <c:lblOffset val="100"/>
        <c:noMultiLvlLbl val="0"/>
      </c:catAx>
      <c:valAx>
        <c:axId val="571880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50385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L-08: VU и RPS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ряды'!B488</c:f>
              <c:strCache>
                <c:ptCount val="1"/>
                <c:pt idx="0">
                  <c:v>VU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ряды'!$A$489:$A$511</c:f>
              <c:strCache>
                <c:ptCount val="2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</c:strCache>
            </c:strRef>
          </c:cat>
          <c:val>
            <c:numRef>
              <c:f>'Временные ряды'!$B$489:$B$511</c:f>
              <c:numCache>
                <c:formatCode>General</c:formatCode>
                <c:ptCount val="2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ряды'!C488</c:f>
              <c:strCache>
                <c:ptCount val="1"/>
                <c:pt idx="0">
                  <c:v>RPS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ряды'!$A$489:$A$511</c:f>
              <c:strCache>
                <c:ptCount val="2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</c:strCache>
            </c:strRef>
          </c:cat>
          <c:val>
            <c:numRef>
              <c:f>'Временные ряды'!$C$489:$C$511</c:f>
              <c:numCache>
                <c:formatCode>General</c:formatCode>
                <c:ptCount val="23"/>
                <c:pt idx="0">
                  <c:v>21.4</c:v>
                </c:pt>
                <c:pt idx="1">
                  <c:v>18</c:v>
                </c:pt>
                <c:pt idx="2">
                  <c:v>18.4</c:v>
                </c:pt>
                <c:pt idx="3">
                  <c:v>17.8</c:v>
                </c:pt>
                <c:pt idx="4">
                  <c:v>19.6</c:v>
                </c:pt>
                <c:pt idx="5">
                  <c:v>18.4</c:v>
                </c:pt>
                <c:pt idx="6">
                  <c:v>23</c:v>
                </c:pt>
                <c:pt idx="7">
                  <c:v>19.8</c:v>
                </c:pt>
                <c:pt idx="8">
                  <c:v>19.6</c:v>
                </c:pt>
                <c:pt idx="9">
                  <c:v>18.2</c:v>
                </c:pt>
                <c:pt idx="10">
                  <c:v>18.8</c:v>
                </c:pt>
                <c:pt idx="11">
                  <c:v>19</c:v>
                </c:pt>
                <c:pt idx="12">
                  <c:v>22</c:v>
                </c:pt>
                <c:pt idx="13">
                  <c:v>20.8</c:v>
                </c:pt>
                <c:pt idx="14">
                  <c:v>19</c:v>
                </c:pt>
                <c:pt idx="15">
                  <c:v>18.6</c:v>
                </c:pt>
                <c:pt idx="16">
                  <c:v>18.2</c:v>
                </c:pt>
                <c:pt idx="17">
                  <c:v>19.2</c:v>
                </c:pt>
                <c:pt idx="18">
                  <c:v>17.4</c:v>
                </c:pt>
                <c:pt idx="19">
                  <c:v>23</c:v>
                </c:pt>
                <c:pt idx="20">
                  <c:v>19.6</c:v>
                </c:pt>
                <c:pt idx="21">
                  <c:v>19.8</c:v>
                </c:pt>
                <c:pt idx="22">
                  <c:v>19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890014"/>
        <c:axId val="40520224"/>
      </c:lineChart>
      <c:catAx>
        <c:axId val="218900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520224"/>
        <c:crosses val="autoZero"/>
        <c:auto val="1"/>
        <c:lblAlgn val="ctr"/>
        <c:lblOffset val="100"/>
        <c:noMultiLvlLbl val="0"/>
      </c:catAx>
      <c:valAx>
        <c:axId val="405202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89001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L-08: время отклика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ряды'!D488</c:f>
              <c:strCache>
                <c:ptCount val="1"/>
                <c:pt idx="0">
                  <c:v>p95, мс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ряды'!$A$489:$A$511</c:f>
              <c:strCache>
                <c:ptCount val="2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</c:strCache>
            </c:strRef>
          </c:cat>
          <c:val>
            <c:numRef>
              <c:f>'Временные ряды'!$D$489:$D$511</c:f>
              <c:numCache>
                <c:formatCode>General</c:formatCode>
                <c:ptCount val="23"/>
                <c:pt idx="0">
                  <c:v>316.7</c:v>
                </c:pt>
                <c:pt idx="1">
                  <c:v>214</c:v>
                </c:pt>
                <c:pt idx="2">
                  <c:v>94.2</c:v>
                </c:pt>
                <c:pt idx="3">
                  <c:v>83.9</c:v>
                </c:pt>
                <c:pt idx="4">
                  <c:v>84.1</c:v>
                </c:pt>
                <c:pt idx="5">
                  <c:v>89.4</c:v>
                </c:pt>
                <c:pt idx="6">
                  <c:v>87.5</c:v>
                </c:pt>
                <c:pt idx="7">
                  <c:v>86.4</c:v>
                </c:pt>
                <c:pt idx="8">
                  <c:v>76</c:v>
                </c:pt>
                <c:pt idx="9">
                  <c:v>81.8</c:v>
                </c:pt>
                <c:pt idx="10">
                  <c:v>90.1</c:v>
                </c:pt>
                <c:pt idx="11">
                  <c:v>88.5</c:v>
                </c:pt>
                <c:pt idx="12">
                  <c:v>86.8</c:v>
                </c:pt>
                <c:pt idx="13">
                  <c:v>93.9</c:v>
                </c:pt>
                <c:pt idx="14">
                  <c:v>123.5</c:v>
                </c:pt>
                <c:pt idx="15">
                  <c:v>88.1</c:v>
                </c:pt>
                <c:pt idx="16">
                  <c:v>126.3</c:v>
                </c:pt>
                <c:pt idx="17">
                  <c:v>93</c:v>
                </c:pt>
                <c:pt idx="18">
                  <c:v>94.3</c:v>
                </c:pt>
                <c:pt idx="19">
                  <c:v>78.4</c:v>
                </c:pt>
                <c:pt idx="20">
                  <c:v>86.5</c:v>
                </c:pt>
                <c:pt idx="21">
                  <c:v>79.6</c:v>
                </c:pt>
                <c:pt idx="22">
                  <c:v>95.6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ряды'!E488</c:f>
              <c:strCache>
                <c:ptCount val="1"/>
                <c:pt idx="0">
                  <c:v>Avg, мс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ряды'!$A$489:$A$511</c:f>
              <c:strCache>
                <c:ptCount val="2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</c:strCache>
            </c:strRef>
          </c:cat>
          <c:val>
            <c:numRef>
              <c:f>'Временные ряды'!$E$489:$E$511</c:f>
              <c:numCache>
                <c:formatCode>General</c:formatCode>
                <c:ptCount val="23"/>
                <c:pt idx="0">
                  <c:v>105.4</c:v>
                </c:pt>
                <c:pt idx="1">
                  <c:v>94.3</c:v>
                </c:pt>
                <c:pt idx="2">
                  <c:v>69.4</c:v>
                </c:pt>
                <c:pt idx="3">
                  <c:v>67.6</c:v>
                </c:pt>
                <c:pt idx="4">
                  <c:v>66.3</c:v>
                </c:pt>
                <c:pt idx="5">
                  <c:v>64.3</c:v>
                </c:pt>
                <c:pt idx="6">
                  <c:v>44.1</c:v>
                </c:pt>
                <c:pt idx="7">
                  <c:v>66</c:v>
                </c:pt>
                <c:pt idx="8">
                  <c:v>61.8</c:v>
                </c:pt>
                <c:pt idx="9">
                  <c:v>63.6</c:v>
                </c:pt>
                <c:pt idx="10">
                  <c:v>67.1</c:v>
                </c:pt>
                <c:pt idx="11">
                  <c:v>63.9</c:v>
                </c:pt>
                <c:pt idx="12">
                  <c:v>29.4</c:v>
                </c:pt>
                <c:pt idx="13">
                  <c:v>66.2</c:v>
                </c:pt>
                <c:pt idx="14">
                  <c:v>71.4</c:v>
                </c:pt>
                <c:pt idx="15">
                  <c:v>68.5</c:v>
                </c:pt>
                <c:pt idx="16">
                  <c:v>72.1</c:v>
                </c:pt>
                <c:pt idx="17">
                  <c:v>66.1</c:v>
                </c:pt>
                <c:pt idx="18">
                  <c:v>65.9</c:v>
                </c:pt>
                <c:pt idx="19">
                  <c:v>62.8</c:v>
                </c:pt>
                <c:pt idx="20">
                  <c:v>64.9</c:v>
                </c:pt>
                <c:pt idx="21">
                  <c:v>62.7</c:v>
                </c:pt>
                <c:pt idx="22">
                  <c:v>66.9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6117793"/>
        <c:axId val="71114402"/>
      </c:lineChart>
      <c:catAx>
        <c:axId val="161177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114402"/>
        <c:crosses val="autoZero"/>
        <c:auto val="1"/>
        <c:lblAlgn val="ctr"/>
        <c:lblOffset val="100"/>
        <c:noMultiLvlLbl val="0"/>
      </c:catAx>
      <c:valAx>
        <c:axId val="711144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1177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L-08: CPU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ряды'!G488</c:f>
              <c:strCache>
                <c:ptCount val="1"/>
                <c:pt idx="0">
                  <c:v>CPU java, %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ряды'!$A$489:$A$511</c:f>
              <c:strCache>
                <c:ptCount val="2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</c:strCache>
            </c:strRef>
          </c:cat>
          <c:val>
            <c:numRef>
              <c:f>'Временные ряды'!$G$489:$G$511</c:f>
              <c:numCache>
                <c:formatCode>General</c:formatCode>
                <c:ptCount val="23"/>
                <c:pt idx="0">
                  <c:v>71.5</c:v>
                </c:pt>
                <c:pt idx="1">
                  <c:v>163.5</c:v>
                </c:pt>
                <c:pt idx="2">
                  <c:v>119.6</c:v>
                </c:pt>
                <c:pt idx="3">
                  <c:v>114</c:v>
                </c:pt>
                <c:pt idx="4">
                  <c:v>111.3</c:v>
                </c:pt>
                <c:pt idx="5">
                  <c:v>114.9</c:v>
                </c:pt>
                <c:pt idx="6">
                  <c:v>33.6</c:v>
                </c:pt>
                <c:pt idx="7">
                  <c:v>119.8</c:v>
                </c:pt>
                <c:pt idx="8">
                  <c:v>108.3</c:v>
                </c:pt>
                <c:pt idx="9">
                  <c:v>110.5</c:v>
                </c:pt>
                <c:pt idx="10">
                  <c:v>118</c:v>
                </c:pt>
                <c:pt idx="11">
                  <c:v>113.7</c:v>
                </c:pt>
                <c:pt idx="12">
                  <c:v>35.7</c:v>
                </c:pt>
                <c:pt idx="13">
                  <c:v>109.3</c:v>
                </c:pt>
                <c:pt idx="14">
                  <c:v>132.5</c:v>
                </c:pt>
                <c:pt idx="15">
                  <c:v>117.4</c:v>
                </c:pt>
                <c:pt idx="16">
                  <c:v>121.8</c:v>
                </c:pt>
                <c:pt idx="17">
                  <c:v>115</c:v>
                </c:pt>
                <c:pt idx="18">
                  <c:v>109.5</c:v>
                </c:pt>
                <c:pt idx="19">
                  <c:v>-275.8</c:v>
                </c:pt>
                <c:pt idx="20">
                  <c:v>113.4</c:v>
                </c:pt>
                <c:pt idx="21">
                  <c:v>110.6</c:v>
                </c:pt>
                <c:pt idx="22">
                  <c:v>117.9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ряды'!H488</c:f>
              <c:strCache>
                <c:ptCount val="1"/>
                <c:pt idx="0">
                  <c:v>CPU mysqld, %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ряды'!$A$489:$A$511</c:f>
              <c:strCache>
                <c:ptCount val="2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</c:strCache>
            </c:strRef>
          </c:cat>
          <c:val>
            <c:numRef>
              <c:f>'Временные ряды'!$H$489:$H$511</c:f>
              <c:numCache>
                <c:formatCode>General</c:formatCode>
                <c:ptCount val="23"/>
                <c:pt idx="0">
                  <c:v>0.4</c:v>
                </c:pt>
                <c:pt idx="1">
                  <c:v>4.5</c:v>
                </c:pt>
                <c:pt idx="2">
                  <c:v>4.3</c:v>
                </c:pt>
                <c:pt idx="3">
                  <c:v>4.7</c:v>
                </c:pt>
                <c:pt idx="4">
                  <c:v>4.3</c:v>
                </c:pt>
                <c:pt idx="5">
                  <c:v>4.5</c:v>
                </c:pt>
                <c:pt idx="6">
                  <c:v>1.4</c:v>
                </c:pt>
                <c:pt idx="7">
                  <c:v>4.9</c:v>
                </c:pt>
                <c:pt idx="8">
                  <c:v>4.5</c:v>
                </c:pt>
                <c:pt idx="9">
                  <c:v>4.7</c:v>
                </c:pt>
                <c:pt idx="10">
                  <c:v>5.3</c:v>
                </c:pt>
                <c:pt idx="11">
                  <c:v>4.2</c:v>
                </c:pt>
                <c:pt idx="12">
                  <c:v>0.3</c:v>
                </c:pt>
                <c:pt idx="13">
                  <c:v>4.5</c:v>
                </c:pt>
                <c:pt idx="14">
                  <c:v>4.7</c:v>
                </c:pt>
                <c:pt idx="15">
                  <c:v>4.9</c:v>
                </c:pt>
                <c:pt idx="16">
                  <c:v>4.5</c:v>
                </c:pt>
                <c:pt idx="17">
                  <c:v>4.9</c:v>
                </c:pt>
                <c:pt idx="18">
                  <c:v>4.3</c:v>
                </c:pt>
                <c:pt idx="19">
                  <c:v>-10.4</c:v>
                </c:pt>
                <c:pt idx="20">
                  <c:v>4.5</c:v>
                </c:pt>
                <c:pt idx="21">
                  <c:v>4.3</c:v>
                </c:pt>
                <c:pt idx="22">
                  <c:v>5.5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'Временные ряды'!I488</c:f>
              <c:strCache>
                <c:ptCount val="1"/>
                <c:pt idx="0">
                  <c:v>CPU машины, 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ряды'!$A$489:$A$511</c:f>
              <c:strCache>
                <c:ptCount val="2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</c:strCache>
            </c:strRef>
          </c:cat>
          <c:val>
            <c:numRef>
              <c:f>'Временные ряды'!$I$489:$I$511</c:f>
              <c:numCache>
                <c:formatCode>General</c:formatCode>
                <c:ptCount val="23"/>
                <c:pt idx="0">
                  <c:v>20.4</c:v>
                </c:pt>
                <c:pt idx="1">
                  <c:v>17.7</c:v>
                </c:pt>
                <c:pt idx="2">
                  <c:v>13.7</c:v>
                </c:pt>
                <c:pt idx="3">
                  <c:v>13.1</c:v>
                </c:pt>
                <c:pt idx="4">
                  <c:v>12.9</c:v>
                </c:pt>
                <c:pt idx="5">
                  <c:v>13.6</c:v>
                </c:pt>
                <c:pt idx="6">
                  <c:v>13.5</c:v>
                </c:pt>
                <c:pt idx="7">
                  <c:v>13.8</c:v>
                </c:pt>
                <c:pt idx="8">
                  <c:v>12.7</c:v>
                </c:pt>
                <c:pt idx="9">
                  <c:v>13.1</c:v>
                </c:pt>
                <c:pt idx="10">
                  <c:v>13.7</c:v>
                </c:pt>
                <c:pt idx="11">
                  <c:v>13.3</c:v>
                </c:pt>
                <c:pt idx="12">
                  <c:v>13.4</c:v>
                </c:pt>
                <c:pt idx="13">
                  <c:v>12.3</c:v>
                </c:pt>
                <c:pt idx="14">
                  <c:v>14.5</c:v>
                </c:pt>
                <c:pt idx="15">
                  <c:v>13.4</c:v>
                </c:pt>
                <c:pt idx="16">
                  <c:v>13.8</c:v>
                </c:pt>
                <c:pt idx="17">
                  <c:v>13.2</c:v>
                </c:pt>
                <c:pt idx="18">
                  <c:v>12.5</c:v>
                </c:pt>
                <c:pt idx="19">
                  <c:v>13.2</c:v>
                </c:pt>
                <c:pt idx="20">
                  <c:v>13.4</c:v>
                </c:pt>
                <c:pt idx="21">
                  <c:v>13.3</c:v>
                </c:pt>
                <c:pt idx="22">
                  <c:v>13.3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314243"/>
        <c:axId val="88359130"/>
      </c:lineChart>
      <c:catAx>
        <c:axId val="123142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359130"/>
        <c:crosses val="autoZero"/>
        <c:auto val="1"/>
        <c:lblAlgn val="ctr"/>
        <c:lblOffset val="100"/>
        <c:noMultiLvlLbl val="0"/>
      </c:catAx>
      <c:valAx>
        <c:axId val="883591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3142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L-09: VU и RPS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ряды'!B515</c:f>
              <c:strCache>
                <c:ptCount val="1"/>
                <c:pt idx="0">
                  <c:v>VU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ряды'!$A$516:$A$691</c:f>
              <c:strCache>
                <c:ptCount val="17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</c:strCache>
            </c:strRef>
          </c:cat>
          <c:val>
            <c:numRef>
              <c:f>'Временные ряды'!$B$516:$B$691</c:f>
              <c:numCache>
                <c:formatCode>General</c:formatCode>
                <c:ptCount val="176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40</c:v>
                </c:pt>
                <c:pt idx="70">
                  <c:v>40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40</c:v>
                </c:pt>
                <c:pt idx="75">
                  <c:v>40</c:v>
                </c:pt>
                <c:pt idx="76">
                  <c:v>40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40</c:v>
                </c:pt>
                <c:pt idx="87">
                  <c:v>40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40</c:v>
                </c:pt>
                <c:pt idx="95">
                  <c:v>40</c:v>
                </c:pt>
                <c:pt idx="96">
                  <c:v>40</c:v>
                </c:pt>
                <c:pt idx="97">
                  <c:v>40</c:v>
                </c:pt>
                <c:pt idx="98">
                  <c:v>40</c:v>
                </c:pt>
                <c:pt idx="99">
                  <c:v>40</c:v>
                </c:pt>
                <c:pt idx="100">
                  <c:v>40</c:v>
                </c:pt>
                <c:pt idx="101">
                  <c:v>40</c:v>
                </c:pt>
                <c:pt idx="102">
                  <c:v>40</c:v>
                </c:pt>
                <c:pt idx="103">
                  <c:v>40</c:v>
                </c:pt>
                <c:pt idx="104">
                  <c:v>40</c:v>
                </c:pt>
                <c:pt idx="105">
                  <c:v>40</c:v>
                </c:pt>
                <c:pt idx="106">
                  <c:v>40</c:v>
                </c:pt>
                <c:pt idx="107">
                  <c:v>40</c:v>
                </c:pt>
                <c:pt idx="108">
                  <c:v>40</c:v>
                </c:pt>
                <c:pt idx="109">
                  <c:v>40</c:v>
                </c:pt>
                <c:pt idx="110">
                  <c:v>40</c:v>
                </c:pt>
                <c:pt idx="111">
                  <c:v>40</c:v>
                </c:pt>
                <c:pt idx="112">
                  <c:v>40</c:v>
                </c:pt>
                <c:pt idx="113">
                  <c:v>40</c:v>
                </c:pt>
                <c:pt idx="114">
                  <c:v>40</c:v>
                </c:pt>
                <c:pt idx="115">
                  <c:v>40</c:v>
                </c:pt>
                <c:pt idx="116">
                  <c:v>40</c:v>
                </c:pt>
                <c:pt idx="117">
                  <c:v>40</c:v>
                </c:pt>
                <c:pt idx="118">
                  <c:v>40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40</c:v>
                </c:pt>
                <c:pt idx="125">
                  <c:v>40</c:v>
                </c:pt>
                <c:pt idx="126">
                  <c:v>40</c:v>
                </c:pt>
                <c:pt idx="127">
                  <c:v>40</c:v>
                </c:pt>
                <c:pt idx="128">
                  <c:v>40</c:v>
                </c:pt>
                <c:pt idx="129">
                  <c:v>40</c:v>
                </c:pt>
                <c:pt idx="130">
                  <c:v>40</c:v>
                </c:pt>
                <c:pt idx="131">
                  <c:v>40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  <c:pt idx="144">
                  <c:v>40</c:v>
                </c:pt>
                <c:pt idx="145">
                  <c:v>40</c:v>
                </c:pt>
                <c:pt idx="146">
                  <c:v>40</c:v>
                </c:pt>
                <c:pt idx="147">
                  <c:v>40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40</c:v>
                </c:pt>
                <c:pt idx="152">
                  <c:v>40</c:v>
                </c:pt>
                <c:pt idx="153">
                  <c:v>40</c:v>
                </c:pt>
                <c:pt idx="154">
                  <c:v>40</c:v>
                </c:pt>
                <c:pt idx="155">
                  <c:v>40</c:v>
                </c:pt>
                <c:pt idx="156">
                  <c:v>40</c:v>
                </c:pt>
                <c:pt idx="157">
                  <c:v>40</c:v>
                </c:pt>
                <c:pt idx="158">
                  <c:v>40</c:v>
                </c:pt>
                <c:pt idx="159">
                  <c:v>40</c:v>
                </c:pt>
                <c:pt idx="160">
                  <c:v>40</c:v>
                </c:pt>
                <c:pt idx="161">
                  <c:v>40</c:v>
                </c:pt>
                <c:pt idx="162">
                  <c:v>40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40</c:v>
                </c:pt>
                <c:pt idx="175">
                  <c:v>40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ряды'!C515</c:f>
              <c:strCache>
                <c:ptCount val="1"/>
                <c:pt idx="0">
                  <c:v>RPS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ряды'!$A$516:$A$691</c:f>
              <c:strCache>
                <c:ptCount val="17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</c:strCache>
            </c:strRef>
          </c:cat>
          <c:val>
            <c:numRef>
              <c:f>'Временные ряды'!$C$516:$C$691</c:f>
              <c:numCache>
                <c:formatCode>General</c:formatCode>
                <c:ptCount val="176"/>
                <c:pt idx="0">
                  <c:v>44.8</c:v>
                </c:pt>
                <c:pt idx="1">
                  <c:v>28.6</c:v>
                </c:pt>
                <c:pt idx="2">
                  <c:v>24.2</c:v>
                </c:pt>
                <c:pt idx="3">
                  <c:v>25.8</c:v>
                </c:pt>
                <c:pt idx="4">
                  <c:v>26.4</c:v>
                </c:pt>
                <c:pt idx="5">
                  <c:v>27</c:v>
                </c:pt>
                <c:pt idx="6">
                  <c:v>27.4</c:v>
                </c:pt>
                <c:pt idx="7">
                  <c:v>25.2</c:v>
                </c:pt>
                <c:pt idx="8">
                  <c:v>28</c:v>
                </c:pt>
                <c:pt idx="9">
                  <c:v>21</c:v>
                </c:pt>
                <c:pt idx="10">
                  <c:v>25.8</c:v>
                </c:pt>
                <c:pt idx="11">
                  <c:v>27.2</c:v>
                </c:pt>
                <c:pt idx="12">
                  <c:v>24.4</c:v>
                </c:pt>
                <c:pt idx="13">
                  <c:v>26</c:v>
                </c:pt>
                <c:pt idx="14">
                  <c:v>27.2</c:v>
                </c:pt>
                <c:pt idx="15">
                  <c:v>26.8</c:v>
                </c:pt>
                <c:pt idx="16">
                  <c:v>23.8</c:v>
                </c:pt>
                <c:pt idx="17">
                  <c:v>26.6</c:v>
                </c:pt>
                <c:pt idx="18">
                  <c:v>24</c:v>
                </c:pt>
                <c:pt idx="19">
                  <c:v>29</c:v>
                </c:pt>
                <c:pt idx="20">
                  <c:v>28.6</c:v>
                </c:pt>
                <c:pt idx="21">
                  <c:v>24.6</c:v>
                </c:pt>
                <c:pt idx="22">
                  <c:v>26.8</c:v>
                </c:pt>
                <c:pt idx="23">
                  <c:v>26.6</c:v>
                </c:pt>
                <c:pt idx="24">
                  <c:v>28.4</c:v>
                </c:pt>
                <c:pt idx="25">
                  <c:v>24.4</c:v>
                </c:pt>
                <c:pt idx="26">
                  <c:v>28</c:v>
                </c:pt>
                <c:pt idx="27">
                  <c:v>24.8</c:v>
                </c:pt>
                <c:pt idx="28">
                  <c:v>27</c:v>
                </c:pt>
                <c:pt idx="29">
                  <c:v>25.2</c:v>
                </c:pt>
                <c:pt idx="30">
                  <c:v>23.8</c:v>
                </c:pt>
                <c:pt idx="31">
                  <c:v>23.8</c:v>
                </c:pt>
                <c:pt idx="32">
                  <c:v>28.4</c:v>
                </c:pt>
                <c:pt idx="33">
                  <c:v>31.4</c:v>
                </c:pt>
                <c:pt idx="34">
                  <c:v>24.2</c:v>
                </c:pt>
                <c:pt idx="35">
                  <c:v>26.8</c:v>
                </c:pt>
                <c:pt idx="36">
                  <c:v>26.2</c:v>
                </c:pt>
                <c:pt idx="37">
                  <c:v>25.8</c:v>
                </c:pt>
                <c:pt idx="38">
                  <c:v>24.6</c:v>
                </c:pt>
                <c:pt idx="39">
                  <c:v>32</c:v>
                </c:pt>
                <c:pt idx="40">
                  <c:v>24.4</c:v>
                </c:pt>
                <c:pt idx="41">
                  <c:v>25</c:v>
                </c:pt>
                <c:pt idx="42">
                  <c:v>25.2</c:v>
                </c:pt>
                <c:pt idx="43">
                  <c:v>25.4</c:v>
                </c:pt>
                <c:pt idx="44">
                  <c:v>24.8</c:v>
                </c:pt>
                <c:pt idx="45">
                  <c:v>34.8</c:v>
                </c:pt>
                <c:pt idx="46">
                  <c:v>27.8</c:v>
                </c:pt>
                <c:pt idx="47">
                  <c:v>22.8</c:v>
                </c:pt>
                <c:pt idx="48">
                  <c:v>25.2</c:v>
                </c:pt>
                <c:pt idx="49">
                  <c:v>24.2</c:v>
                </c:pt>
                <c:pt idx="50">
                  <c:v>27.6</c:v>
                </c:pt>
                <c:pt idx="51">
                  <c:v>31.2</c:v>
                </c:pt>
                <c:pt idx="52">
                  <c:v>28.2</c:v>
                </c:pt>
                <c:pt idx="53">
                  <c:v>25.4</c:v>
                </c:pt>
                <c:pt idx="54">
                  <c:v>26</c:v>
                </c:pt>
                <c:pt idx="55">
                  <c:v>24.4</c:v>
                </c:pt>
                <c:pt idx="56">
                  <c:v>24.6</c:v>
                </c:pt>
                <c:pt idx="57">
                  <c:v>24.6</c:v>
                </c:pt>
                <c:pt idx="58">
                  <c:v>24</c:v>
                </c:pt>
                <c:pt idx="59">
                  <c:v>27</c:v>
                </c:pt>
                <c:pt idx="60">
                  <c:v>34.6</c:v>
                </c:pt>
                <c:pt idx="61">
                  <c:v>24.6</c:v>
                </c:pt>
                <c:pt idx="62">
                  <c:v>26.6</c:v>
                </c:pt>
                <c:pt idx="63">
                  <c:v>25.6</c:v>
                </c:pt>
                <c:pt idx="64">
                  <c:v>25</c:v>
                </c:pt>
                <c:pt idx="65">
                  <c:v>25.4</c:v>
                </c:pt>
                <c:pt idx="66">
                  <c:v>25.8</c:v>
                </c:pt>
                <c:pt idx="67">
                  <c:v>27.6</c:v>
                </c:pt>
                <c:pt idx="68">
                  <c:v>23</c:v>
                </c:pt>
                <c:pt idx="69">
                  <c:v>25.2</c:v>
                </c:pt>
                <c:pt idx="70">
                  <c:v>26.4</c:v>
                </c:pt>
                <c:pt idx="71">
                  <c:v>25.8</c:v>
                </c:pt>
                <c:pt idx="72">
                  <c:v>27</c:v>
                </c:pt>
                <c:pt idx="73">
                  <c:v>24</c:v>
                </c:pt>
                <c:pt idx="74">
                  <c:v>22.4</c:v>
                </c:pt>
                <c:pt idx="75">
                  <c:v>26.8</c:v>
                </c:pt>
                <c:pt idx="76">
                  <c:v>24.6</c:v>
                </c:pt>
                <c:pt idx="77">
                  <c:v>27.4</c:v>
                </c:pt>
                <c:pt idx="78">
                  <c:v>25.6</c:v>
                </c:pt>
                <c:pt idx="79">
                  <c:v>25.6</c:v>
                </c:pt>
                <c:pt idx="80">
                  <c:v>23.2</c:v>
                </c:pt>
                <c:pt idx="81">
                  <c:v>25.8</c:v>
                </c:pt>
                <c:pt idx="82">
                  <c:v>23.2</c:v>
                </c:pt>
                <c:pt idx="83">
                  <c:v>26.6</c:v>
                </c:pt>
                <c:pt idx="84">
                  <c:v>25.4</c:v>
                </c:pt>
                <c:pt idx="85">
                  <c:v>26</c:v>
                </c:pt>
                <c:pt idx="86">
                  <c:v>26</c:v>
                </c:pt>
                <c:pt idx="87">
                  <c:v>24.4</c:v>
                </c:pt>
                <c:pt idx="88">
                  <c:v>32</c:v>
                </c:pt>
                <c:pt idx="89">
                  <c:v>24.4</c:v>
                </c:pt>
                <c:pt idx="90">
                  <c:v>24.8</c:v>
                </c:pt>
                <c:pt idx="91">
                  <c:v>26</c:v>
                </c:pt>
                <c:pt idx="92">
                  <c:v>24.2</c:v>
                </c:pt>
                <c:pt idx="93">
                  <c:v>25.2</c:v>
                </c:pt>
                <c:pt idx="94">
                  <c:v>27.4</c:v>
                </c:pt>
                <c:pt idx="95">
                  <c:v>29.2</c:v>
                </c:pt>
                <c:pt idx="96">
                  <c:v>26</c:v>
                </c:pt>
                <c:pt idx="97">
                  <c:v>26.4</c:v>
                </c:pt>
                <c:pt idx="98">
                  <c:v>22.6</c:v>
                </c:pt>
                <c:pt idx="99">
                  <c:v>25</c:v>
                </c:pt>
                <c:pt idx="100">
                  <c:v>23.6</c:v>
                </c:pt>
                <c:pt idx="101">
                  <c:v>26.4</c:v>
                </c:pt>
                <c:pt idx="102">
                  <c:v>25.6</c:v>
                </c:pt>
                <c:pt idx="103">
                  <c:v>25.6</c:v>
                </c:pt>
                <c:pt idx="104">
                  <c:v>25.2</c:v>
                </c:pt>
                <c:pt idx="105">
                  <c:v>26.6</c:v>
                </c:pt>
                <c:pt idx="106">
                  <c:v>23.2</c:v>
                </c:pt>
                <c:pt idx="107">
                  <c:v>31.4</c:v>
                </c:pt>
                <c:pt idx="108">
                  <c:v>26.8</c:v>
                </c:pt>
                <c:pt idx="109">
                  <c:v>27</c:v>
                </c:pt>
                <c:pt idx="110">
                  <c:v>25.6</c:v>
                </c:pt>
                <c:pt idx="111">
                  <c:v>25.2</c:v>
                </c:pt>
                <c:pt idx="112">
                  <c:v>28.2</c:v>
                </c:pt>
                <c:pt idx="113">
                  <c:v>28.2</c:v>
                </c:pt>
                <c:pt idx="114">
                  <c:v>28.2</c:v>
                </c:pt>
                <c:pt idx="115">
                  <c:v>25.6</c:v>
                </c:pt>
                <c:pt idx="116">
                  <c:v>24.8</c:v>
                </c:pt>
                <c:pt idx="117">
                  <c:v>24.6</c:v>
                </c:pt>
                <c:pt idx="118">
                  <c:v>22</c:v>
                </c:pt>
                <c:pt idx="119">
                  <c:v>26.6</c:v>
                </c:pt>
                <c:pt idx="120">
                  <c:v>32.4</c:v>
                </c:pt>
                <c:pt idx="121">
                  <c:v>26.2</c:v>
                </c:pt>
                <c:pt idx="122">
                  <c:v>26.2</c:v>
                </c:pt>
                <c:pt idx="123">
                  <c:v>26.4</c:v>
                </c:pt>
                <c:pt idx="124">
                  <c:v>28</c:v>
                </c:pt>
                <c:pt idx="125">
                  <c:v>24.4</c:v>
                </c:pt>
                <c:pt idx="126">
                  <c:v>33.4</c:v>
                </c:pt>
                <c:pt idx="127">
                  <c:v>23.8</c:v>
                </c:pt>
                <c:pt idx="128">
                  <c:v>26.2</c:v>
                </c:pt>
                <c:pt idx="129">
                  <c:v>26.2</c:v>
                </c:pt>
                <c:pt idx="130">
                  <c:v>25.2</c:v>
                </c:pt>
                <c:pt idx="131">
                  <c:v>27.4</c:v>
                </c:pt>
                <c:pt idx="132">
                  <c:v>36.8</c:v>
                </c:pt>
                <c:pt idx="133">
                  <c:v>25.2</c:v>
                </c:pt>
                <c:pt idx="134">
                  <c:v>24.2</c:v>
                </c:pt>
                <c:pt idx="135">
                  <c:v>25.6</c:v>
                </c:pt>
                <c:pt idx="136">
                  <c:v>26.2</c:v>
                </c:pt>
                <c:pt idx="137">
                  <c:v>26.4</c:v>
                </c:pt>
                <c:pt idx="138">
                  <c:v>32.4</c:v>
                </c:pt>
                <c:pt idx="139">
                  <c:v>27.6</c:v>
                </c:pt>
                <c:pt idx="140">
                  <c:v>24.6</c:v>
                </c:pt>
                <c:pt idx="141">
                  <c:v>26.4</c:v>
                </c:pt>
                <c:pt idx="142">
                  <c:v>25</c:v>
                </c:pt>
                <c:pt idx="143">
                  <c:v>28.4</c:v>
                </c:pt>
                <c:pt idx="144">
                  <c:v>27.8</c:v>
                </c:pt>
                <c:pt idx="145">
                  <c:v>26.4</c:v>
                </c:pt>
                <c:pt idx="146">
                  <c:v>27.2</c:v>
                </c:pt>
                <c:pt idx="147">
                  <c:v>28.6</c:v>
                </c:pt>
                <c:pt idx="148">
                  <c:v>25.2</c:v>
                </c:pt>
                <c:pt idx="149">
                  <c:v>25.8</c:v>
                </c:pt>
                <c:pt idx="150">
                  <c:v>24.4</c:v>
                </c:pt>
                <c:pt idx="151">
                  <c:v>29</c:v>
                </c:pt>
                <c:pt idx="152">
                  <c:v>25.8</c:v>
                </c:pt>
                <c:pt idx="153">
                  <c:v>27.4</c:v>
                </c:pt>
                <c:pt idx="154">
                  <c:v>26.6</c:v>
                </c:pt>
                <c:pt idx="155">
                  <c:v>25.6</c:v>
                </c:pt>
                <c:pt idx="156">
                  <c:v>25.2</c:v>
                </c:pt>
                <c:pt idx="157">
                  <c:v>33.2</c:v>
                </c:pt>
                <c:pt idx="158">
                  <c:v>24.6</c:v>
                </c:pt>
                <c:pt idx="159">
                  <c:v>26</c:v>
                </c:pt>
                <c:pt idx="160">
                  <c:v>24.4</c:v>
                </c:pt>
                <c:pt idx="161">
                  <c:v>28.2</c:v>
                </c:pt>
                <c:pt idx="162">
                  <c:v>26.8</c:v>
                </c:pt>
                <c:pt idx="163">
                  <c:v>31.4</c:v>
                </c:pt>
                <c:pt idx="164">
                  <c:v>26</c:v>
                </c:pt>
                <c:pt idx="165">
                  <c:v>25</c:v>
                </c:pt>
                <c:pt idx="166">
                  <c:v>26.6</c:v>
                </c:pt>
                <c:pt idx="167">
                  <c:v>24.4</c:v>
                </c:pt>
                <c:pt idx="168">
                  <c:v>25.6</c:v>
                </c:pt>
                <c:pt idx="169">
                  <c:v>34.2</c:v>
                </c:pt>
                <c:pt idx="170">
                  <c:v>24.8</c:v>
                </c:pt>
                <c:pt idx="171">
                  <c:v>27.4</c:v>
                </c:pt>
                <c:pt idx="172">
                  <c:v>25.8</c:v>
                </c:pt>
                <c:pt idx="173">
                  <c:v>25.6</c:v>
                </c:pt>
                <c:pt idx="174">
                  <c:v>23.6</c:v>
                </c:pt>
                <c:pt idx="175">
                  <c:v>16.2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814818"/>
        <c:axId val="4525975"/>
      </c:lineChart>
      <c:catAx>
        <c:axId val="198148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25975"/>
        <c:crosses val="autoZero"/>
        <c:auto val="1"/>
        <c:lblAlgn val="ctr"/>
        <c:lblOffset val="100"/>
        <c:noMultiLvlLbl val="0"/>
      </c:catAx>
      <c:valAx>
        <c:axId val="45259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81481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L-09: время отклика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ряды'!D515</c:f>
              <c:strCache>
                <c:ptCount val="1"/>
                <c:pt idx="0">
                  <c:v>p95, мс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ряды'!$A$516:$A$691</c:f>
              <c:strCache>
                <c:ptCount val="17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</c:strCache>
            </c:strRef>
          </c:cat>
          <c:val>
            <c:numRef>
              <c:f>'Временные ряды'!$D$516:$D$691</c:f>
              <c:numCache>
                <c:formatCode>General</c:formatCode>
                <c:ptCount val="176"/>
                <c:pt idx="0">
                  <c:v>172.5</c:v>
                </c:pt>
                <c:pt idx="1">
                  <c:v>19.1</c:v>
                </c:pt>
                <c:pt idx="2">
                  <c:v>16.7</c:v>
                </c:pt>
                <c:pt idx="3">
                  <c:v>16.4</c:v>
                </c:pt>
                <c:pt idx="4">
                  <c:v>16.2</c:v>
                </c:pt>
                <c:pt idx="5">
                  <c:v>18.1</c:v>
                </c:pt>
                <c:pt idx="6">
                  <c:v>18</c:v>
                </c:pt>
                <c:pt idx="7">
                  <c:v>14.5</c:v>
                </c:pt>
                <c:pt idx="8">
                  <c:v>16.5</c:v>
                </c:pt>
                <c:pt idx="9">
                  <c:v>19.3</c:v>
                </c:pt>
                <c:pt idx="10">
                  <c:v>16.1</c:v>
                </c:pt>
                <c:pt idx="11">
                  <c:v>17.1</c:v>
                </c:pt>
                <c:pt idx="12">
                  <c:v>17.1</c:v>
                </c:pt>
                <c:pt idx="13">
                  <c:v>17.8</c:v>
                </c:pt>
                <c:pt idx="14">
                  <c:v>16</c:v>
                </c:pt>
                <c:pt idx="15">
                  <c:v>16.7</c:v>
                </c:pt>
                <c:pt idx="16">
                  <c:v>16.5</c:v>
                </c:pt>
                <c:pt idx="17">
                  <c:v>16.7</c:v>
                </c:pt>
                <c:pt idx="18">
                  <c:v>18.1</c:v>
                </c:pt>
                <c:pt idx="19">
                  <c:v>16.9</c:v>
                </c:pt>
                <c:pt idx="20">
                  <c:v>17</c:v>
                </c:pt>
                <c:pt idx="21">
                  <c:v>17.3</c:v>
                </c:pt>
                <c:pt idx="22">
                  <c:v>16.4</c:v>
                </c:pt>
                <c:pt idx="23">
                  <c:v>17.9</c:v>
                </c:pt>
                <c:pt idx="24">
                  <c:v>16.7</c:v>
                </c:pt>
                <c:pt idx="25">
                  <c:v>17</c:v>
                </c:pt>
                <c:pt idx="26">
                  <c:v>18.1</c:v>
                </c:pt>
                <c:pt idx="27">
                  <c:v>16.3</c:v>
                </c:pt>
                <c:pt idx="28">
                  <c:v>18</c:v>
                </c:pt>
                <c:pt idx="29">
                  <c:v>17.9</c:v>
                </c:pt>
                <c:pt idx="30">
                  <c:v>16.7</c:v>
                </c:pt>
                <c:pt idx="31">
                  <c:v>17.3</c:v>
                </c:pt>
                <c:pt idx="32">
                  <c:v>16.8</c:v>
                </c:pt>
                <c:pt idx="33">
                  <c:v>16.6</c:v>
                </c:pt>
                <c:pt idx="34">
                  <c:v>17.3</c:v>
                </c:pt>
                <c:pt idx="35">
                  <c:v>22.3</c:v>
                </c:pt>
                <c:pt idx="36">
                  <c:v>20.8</c:v>
                </c:pt>
                <c:pt idx="37">
                  <c:v>19.7</c:v>
                </c:pt>
                <c:pt idx="38">
                  <c:v>18.9</c:v>
                </c:pt>
                <c:pt idx="39">
                  <c:v>19.1</c:v>
                </c:pt>
                <c:pt idx="40">
                  <c:v>17.8</c:v>
                </c:pt>
                <c:pt idx="41">
                  <c:v>18.7</c:v>
                </c:pt>
                <c:pt idx="42">
                  <c:v>18.5</c:v>
                </c:pt>
                <c:pt idx="43">
                  <c:v>18.3</c:v>
                </c:pt>
                <c:pt idx="44">
                  <c:v>16.9</c:v>
                </c:pt>
                <c:pt idx="45">
                  <c:v>18.7</c:v>
                </c:pt>
                <c:pt idx="46">
                  <c:v>18.5</c:v>
                </c:pt>
                <c:pt idx="47">
                  <c:v>17.9</c:v>
                </c:pt>
                <c:pt idx="48">
                  <c:v>18.7</c:v>
                </c:pt>
                <c:pt idx="49">
                  <c:v>17.2</c:v>
                </c:pt>
                <c:pt idx="50">
                  <c:v>19.7</c:v>
                </c:pt>
                <c:pt idx="51">
                  <c:v>17.8</c:v>
                </c:pt>
                <c:pt idx="52">
                  <c:v>19.3</c:v>
                </c:pt>
                <c:pt idx="53">
                  <c:v>18.5</c:v>
                </c:pt>
                <c:pt idx="54">
                  <c:v>20.8</c:v>
                </c:pt>
                <c:pt idx="55">
                  <c:v>19.5</c:v>
                </c:pt>
                <c:pt idx="56">
                  <c:v>18.5</c:v>
                </c:pt>
                <c:pt idx="57">
                  <c:v>23.9</c:v>
                </c:pt>
                <c:pt idx="58">
                  <c:v>17.6</c:v>
                </c:pt>
                <c:pt idx="59">
                  <c:v>17.6</c:v>
                </c:pt>
                <c:pt idx="60">
                  <c:v>17.8</c:v>
                </c:pt>
                <c:pt idx="61">
                  <c:v>17.8</c:v>
                </c:pt>
                <c:pt idx="62">
                  <c:v>19.1</c:v>
                </c:pt>
                <c:pt idx="63">
                  <c:v>18.1</c:v>
                </c:pt>
                <c:pt idx="64">
                  <c:v>19.1</c:v>
                </c:pt>
                <c:pt idx="65">
                  <c:v>18</c:v>
                </c:pt>
                <c:pt idx="66">
                  <c:v>18.2</c:v>
                </c:pt>
                <c:pt idx="67">
                  <c:v>17.6</c:v>
                </c:pt>
                <c:pt idx="68">
                  <c:v>18.1</c:v>
                </c:pt>
                <c:pt idx="69">
                  <c:v>18</c:v>
                </c:pt>
                <c:pt idx="70">
                  <c:v>19.2</c:v>
                </c:pt>
                <c:pt idx="71">
                  <c:v>17</c:v>
                </c:pt>
                <c:pt idx="72">
                  <c:v>14.7</c:v>
                </c:pt>
                <c:pt idx="73">
                  <c:v>16.8</c:v>
                </c:pt>
                <c:pt idx="74">
                  <c:v>17.1</c:v>
                </c:pt>
                <c:pt idx="75">
                  <c:v>16.1</c:v>
                </c:pt>
                <c:pt idx="76">
                  <c:v>17.7</c:v>
                </c:pt>
                <c:pt idx="77">
                  <c:v>19.6</c:v>
                </c:pt>
                <c:pt idx="78">
                  <c:v>17</c:v>
                </c:pt>
                <c:pt idx="79">
                  <c:v>17</c:v>
                </c:pt>
                <c:pt idx="80">
                  <c:v>18</c:v>
                </c:pt>
                <c:pt idx="81">
                  <c:v>17.1</c:v>
                </c:pt>
                <c:pt idx="82">
                  <c:v>17.7</c:v>
                </c:pt>
                <c:pt idx="83">
                  <c:v>18.6</c:v>
                </c:pt>
                <c:pt idx="84">
                  <c:v>15.8</c:v>
                </c:pt>
                <c:pt idx="85">
                  <c:v>16.6</c:v>
                </c:pt>
                <c:pt idx="86">
                  <c:v>17.7</c:v>
                </c:pt>
                <c:pt idx="87">
                  <c:v>17.7</c:v>
                </c:pt>
                <c:pt idx="88">
                  <c:v>16.8</c:v>
                </c:pt>
                <c:pt idx="89">
                  <c:v>16.8</c:v>
                </c:pt>
                <c:pt idx="90">
                  <c:v>18.6</c:v>
                </c:pt>
                <c:pt idx="91">
                  <c:v>19</c:v>
                </c:pt>
                <c:pt idx="92">
                  <c:v>19.5</c:v>
                </c:pt>
                <c:pt idx="93">
                  <c:v>17.9</c:v>
                </c:pt>
                <c:pt idx="94">
                  <c:v>16.9</c:v>
                </c:pt>
                <c:pt idx="95">
                  <c:v>18.6</c:v>
                </c:pt>
                <c:pt idx="96">
                  <c:v>17.7</c:v>
                </c:pt>
                <c:pt idx="97">
                  <c:v>18.7</c:v>
                </c:pt>
                <c:pt idx="98">
                  <c:v>18.7</c:v>
                </c:pt>
                <c:pt idx="99">
                  <c:v>16.8</c:v>
                </c:pt>
                <c:pt idx="100">
                  <c:v>17.8</c:v>
                </c:pt>
                <c:pt idx="101">
                  <c:v>18.2</c:v>
                </c:pt>
                <c:pt idx="102">
                  <c:v>17</c:v>
                </c:pt>
                <c:pt idx="103">
                  <c:v>18.7</c:v>
                </c:pt>
                <c:pt idx="104">
                  <c:v>17.4</c:v>
                </c:pt>
                <c:pt idx="105">
                  <c:v>19.2</c:v>
                </c:pt>
                <c:pt idx="106">
                  <c:v>17.8</c:v>
                </c:pt>
                <c:pt idx="107">
                  <c:v>16.6</c:v>
                </c:pt>
                <c:pt idx="108">
                  <c:v>17.1</c:v>
                </c:pt>
                <c:pt idx="109">
                  <c:v>17.6</c:v>
                </c:pt>
                <c:pt idx="110">
                  <c:v>18</c:v>
                </c:pt>
                <c:pt idx="111">
                  <c:v>17.7</c:v>
                </c:pt>
                <c:pt idx="112">
                  <c:v>17.7</c:v>
                </c:pt>
                <c:pt idx="113">
                  <c:v>18.5</c:v>
                </c:pt>
                <c:pt idx="114">
                  <c:v>22.4</c:v>
                </c:pt>
                <c:pt idx="115">
                  <c:v>17.3</c:v>
                </c:pt>
                <c:pt idx="116">
                  <c:v>17.8</c:v>
                </c:pt>
                <c:pt idx="117">
                  <c:v>16.6</c:v>
                </c:pt>
                <c:pt idx="118">
                  <c:v>17</c:v>
                </c:pt>
                <c:pt idx="119">
                  <c:v>18.6</c:v>
                </c:pt>
                <c:pt idx="120">
                  <c:v>17.9</c:v>
                </c:pt>
                <c:pt idx="121">
                  <c:v>17.8</c:v>
                </c:pt>
                <c:pt idx="122">
                  <c:v>19.9</c:v>
                </c:pt>
                <c:pt idx="123">
                  <c:v>19.1</c:v>
                </c:pt>
                <c:pt idx="124">
                  <c:v>17.4</c:v>
                </c:pt>
                <c:pt idx="125">
                  <c:v>18.4</c:v>
                </c:pt>
                <c:pt idx="126">
                  <c:v>17.5</c:v>
                </c:pt>
                <c:pt idx="127">
                  <c:v>18.3</c:v>
                </c:pt>
                <c:pt idx="128">
                  <c:v>18.3</c:v>
                </c:pt>
                <c:pt idx="129">
                  <c:v>20.5</c:v>
                </c:pt>
                <c:pt idx="130">
                  <c:v>18</c:v>
                </c:pt>
                <c:pt idx="131">
                  <c:v>18.6</c:v>
                </c:pt>
                <c:pt idx="132">
                  <c:v>18</c:v>
                </c:pt>
                <c:pt idx="133">
                  <c:v>18.3</c:v>
                </c:pt>
                <c:pt idx="134">
                  <c:v>17.6</c:v>
                </c:pt>
                <c:pt idx="135">
                  <c:v>19.2</c:v>
                </c:pt>
                <c:pt idx="136">
                  <c:v>18.8</c:v>
                </c:pt>
                <c:pt idx="137">
                  <c:v>17.6</c:v>
                </c:pt>
                <c:pt idx="138">
                  <c:v>16.8</c:v>
                </c:pt>
                <c:pt idx="139">
                  <c:v>17.8</c:v>
                </c:pt>
                <c:pt idx="140">
                  <c:v>18</c:v>
                </c:pt>
                <c:pt idx="141">
                  <c:v>18.5</c:v>
                </c:pt>
                <c:pt idx="142">
                  <c:v>18.6</c:v>
                </c:pt>
                <c:pt idx="143">
                  <c:v>18.4</c:v>
                </c:pt>
                <c:pt idx="144">
                  <c:v>18.6</c:v>
                </c:pt>
                <c:pt idx="145">
                  <c:v>18.7</c:v>
                </c:pt>
                <c:pt idx="146">
                  <c:v>17.8</c:v>
                </c:pt>
                <c:pt idx="147">
                  <c:v>18.1</c:v>
                </c:pt>
                <c:pt idx="148">
                  <c:v>18.2</c:v>
                </c:pt>
                <c:pt idx="149">
                  <c:v>18.3</c:v>
                </c:pt>
                <c:pt idx="150">
                  <c:v>17.6</c:v>
                </c:pt>
                <c:pt idx="151">
                  <c:v>18.1</c:v>
                </c:pt>
                <c:pt idx="152">
                  <c:v>17.9</c:v>
                </c:pt>
                <c:pt idx="153">
                  <c:v>18.2</c:v>
                </c:pt>
                <c:pt idx="154">
                  <c:v>19</c:v>
                </c:pt>
                <c:pt idx="155">
                  <c:v>17.7</c:v>
                </c:pt>
                <c:pt idx="156">
                  <c:v>18.6</c:v>
                </c:pt>
                <c:pt idx="157">
                  <c:v>18.9</c:v>
                </c:pt>
                <c:pt idx="158">
                  <c:v>17.2</c:v>
                </c:pt>
                <c:pt idx="159">
                  <c:v>19.9</c:v>
                </c:pt>
                <c:pt idx="160">
                  <c:v>19.6</c:v>
                </c:pt>
                <c:pt idx="161">
                  <c:v>17.9</c:v>
                </c:pt>
                <c:pt idx="162">
                  <c:v>17.7</c:v>
                </c:pt>
                <c:pt idx="163">
                  <c:v>18.7</c:v>
                </c:pt>
                <c:pt idx="164">
                  <c:v>17.7</c:v>
                </c:pt>
                <c:pt idx="165">
                  <c:v>18.4</c:v>
                </c:pt>
                <c:pt idx="166">
                  <c:v>18.7</c:v>
                </c:pt>
                <c:pt idx="167">
                  <c:v>19.5</c:v>
                </c:pt>
                <c:pt idx="168">
                  <c:v>20.4</c:v>
                </c:pt>
                <c:pt idx="169">
                  <c:v>20.2</c:v>
                </c:pt>
                <c:pt idx="170">
                  <c:v>20.2</c:v>
                </c:pt>
                <c:pt idx="171">
                  <c:v>19.6</c:v>
                </c:pt>
                <c:pt idx="172">
                  <c:v>21.3</c:v>
                </c:pt>
                <c:pt idx="173">
                  <c:v>20.5</c:v>
                </c:pt>
                <c:pt idx="174">
                  <c:v>20.1</c:v>
                </c:pt>
                <c:pt idx="175">
                  <c:v>28.5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ряды'!E515</c:f>
              <c:strCache>
                <c:ptCount val="1"/>
                <c:pt idx="0">
                  <c:v>Avg, мс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ряды'!$A$516:$A$691</c:f>
              <c:strCache>
                <c:ptCount val="17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</c:strCache>
            </c:strRef>
          </c:cat>
          <c:val>
            <c:numRef>
              <c:f>'Временные ряды'!$E$516:$E$691</c:f>
              <c:numCache>
                <c:formatCode>General</c:formatCode>
                <c:ptCount val="176"/>
                <c:pt idx="0">
                  <c:v>51.5</c:v>
                </c:pt>
                <c:pt idx="1">
                  <c:v>11.5</c:v>
                </c:pt>
                <c:pt idx="2">
                  <c:v>9.2</c:v>
                </c:pt>
                <c:pt idx="3">
                  <c:v>9.7</c:v>
                </c:pt>
                <c:pt idx="4">
                  <c:v>8.9</c:v>
                </c:pt>
                <c:pt idx="5">
                  <c:v>10.5</c:v>
                </c:pt>
                <c:pt idx="6">
                  <c:v>10</c:v>
                </c:pt>
                <c:pt idx="7">
                  <c:v>7.1</c:v>
                </c:pt>
                <c:pt idx="8">
                  <c:v>9.5</c:v>
                </c:pt>
                <c:pt idx="9">
                  <c:v>9.7</c:v>
                </c:pt>
                <c:pt idx="10">
                  <c:v>8.1</c:v>
                </c:pt>
                <c:pt idx="11">
                  <c:v>9.2</c:v>
                </c:pt>
                <c:pt idx="12">
                  <c:v>9.8</c:v>
                </c:pt>
                <c:pt idx="13">
                  <c:v>8.4</c:v>
                </c:pt>
                <c:pt idx="14">
                  <c:v>8.3</c:v>
                </c:pt>
                <c:pt idx="15">
                  <c:v>10.1</c:v>
                </c:pt>
                <c:pt idx="16">
                  <c:v>7.7</c:v>
                </c:pt>
                <c:pt idx="17">
                  <c:v>9.2</c:v>
                </c:pt>
                <c:pt idx="18">
                  <c:v>9.4</c:v>
                </c:pt>
                <c:pt idx="19">
                  <c:v>8.9</c:v>
                </c:pt>
                <c:pt idx="20">
                  <c:v>8.6</c:v>
                </c:pt>
                <c:pt idx="21">
                  <c:v>9.2</c:v>
                </c:pt>
                <c:pt idx="22">
                  <c:v>8.8</c:v>
                </c:pt>
                <c:pt idx="23">
                  <c:v>9.3</c:v>
                </c:pt>
                <c:pt idx="24">
                  <c:v>8.9</c:v>
                </c:pt>
                <c:pt idx="25">
                  <c:v>8.9</c:v>
                </c:pt>
                <c:pt idx="26">
                  <c:v>9.8</c:v>
                </c:pt>
                <c:pt idx="27">
                  <c:v>8.9</c:v>
                </c:pt>
                <c:pt idx="28">
                  <c:v>10.7</c:v>
                </c:pt>
                <c:pt idx="29">
                  <c:v>9.9</c:v>
                </c:pt>
                <c:pt idx="30">
                  <c:v>8.8</c:v>
                </c:pt>
                <c:pt idx="31">
                  <c:v>9.3</c:v>
                </c:pt>
                <c:pt idx="32">
                  <c:v>9.5</c:v>
                </c:pt>
                <c:pt idx="33">
                  <c:v>9</c:v>
                </c:pt>
                <c:pt idx="34">
                  <c:v>8.9</c:v>
                </c:pt>
                <c:pt idx="35">
                  <c:v>10.6</c:v>
                </c:pt>
                <c:pt idx="36">
                  <c:v>10.8</c:v>
                </c:pt>
                <c:pt idx="37">
                  <c:v>9.2</c:v>
                </c:pt>
                <c:pt idx="38">
                  <c:v>10.8</c:v>
                </c:pt>
                <c:pt idx="39">
                  <c:v>10.4</c:v>
                </c:pt>
                <c:pt idx="40">
                  <c:v>9</c:v>
                </c:pt>
                <c:pt idx="41">
                  <c:v>8.9</c:v>
                </c:pt>
                <c:pt idx="42">
                  <c:v>10.4</c:v>
                </c:pt>
                <c:pt idx="43">
                  <c:v>8.8</c:v>
                </c:pt>
                <c:pt idx="44">
                  <c:v>8</c:v>
                </c:pt>
                <c:pt idx="45">
                  <c:v>8.9</c:v>
                </c:pt>
                <c:pt idx="46">
                  <c:v>10.5</c:v>
                </c:pt>
                <c:pt idx="47">
                  <c:v>9</c:v>
                </c:pt>
                <c:pt idx="48">
                  <c:v>10.6</c:v>
                </c:pt>
                <c:pt idx="49">
                  <c:v>8.8</c:v>
                </c:pt>
                <c:pt idx="50">
                  <c:v>11.3</c:v>
                </c:pt>
                <c:pt idx="51">
                  <c:v>1.3</c:v>
                </c:pt>
                <c:pt idx="52">
                  <c:v>9.2</c:v>
                </c:pt>
                <c:pt idx="53">
                  <c:v>9.4</c:v>
                </c:pt>
                <c:pt idx="54">
                  <c:v>11</c:v>
                </c:pt>
                <c:pt idx="55">
                  <c:v>10</c:v>
                </c:pt>
                <c:pt idx="56">
                  <c:v>8.6</c:v>
                </c:pt>
                <c:pt idx="57">
                  <c:v>11.1</c:v>
                </c:pt>
                <c:pt idx="58">
                  <c:v>10</c:v>
                </c:pt>
                <c:pt idx="59">
                  <c:v>8.8</c:v>
                </c:pt>
                <c:pt idx="60">
                  <c:v>9.4</c:v>
                </c:pt>
                <c:pt idx="61">
                  <c:v>10.6</c:v>
                </c:pt>
                <c:pt idx="62">
                  <c:v>10.2</c:v>
                </c:pt>
                <c:pt idx="63">
                  <c:v>10</c:v>
                </c:pt>
                <c:pt idx="64">
                  <c:v>10.9</c:v>
                </c:pt>
                <c:pt idx="65">
                  <c:v>8.8</c:v>
                </c:pt>
                <c:pt idx="66">
                  <c:v>9.5</c:v>
                </c:pt>
                <c:pt idx="67">
                  <c:v>8.9</c:v>
                </c:pt>
                <c:pt idx="68">
                  <c:v>9.7</c:v>
                </c:pt>
                <c:pt idx="69">
                  <c:v>9.3</c:v>
                </c:pt>
                <c:pt idx="70">
                  <c:v>11.3</c:v>
                </c:pt>
                <c:pt idx="71">
                  <c:v>8.9</c:v>
                </c:pt>
                <c:pt idx="72">
                  <c:v>7.9</c:v>
                </c:pt>
                <c:pt idx="73">
                  <c:v>8.6</c:v>
                </c:pt>
                <c:pt idx="74">
                  <c:v>8.6</c:v>
                </c:pt>
                <c:pt idx="75">
                  <c:v>9.7</c:v>
                </c:pt>
                <c:pt idx="76">
                  <c:v>9.1</c:v>
                </c:pt>
                <c:pt idx="77">
                  <c:v>10.3</c:v>
                </c:pt>
                <c:pt idx="78">
                  <c:v>8</c:v>
                </c:pt>
                <c:pt idx="79">
                  <c:v>8.7</c:v>
                </c:pt>
                <c:pt idx="80">
                  <c:v>9.2</c:v>
                </c:pt>
                <c:pt idx="81">
                  <c:v>9.8</c:v>
                </c:pt>
                <c:pt idx="82">
                  <c:v>8.3</c:v>
                </c:pt>
                <c:pt idx="83">
                  <c:v>9.5</c:v>
                </c:pt>
                <c:pt idx="84">
                  <c:v>8.1</c:v>
                </c:pt>
                <c:pt idx="85">
                  <c:v>9.1</c:v>
                </c:pt>
                <c:pt idx="86">
                  <c:v>9.2</c:v>
                </c:pt>
                <c:pt idx="87">
                  <c:v>9.2</c:v>
                </c:pt>
                <c:pt idx="88">
                  <c:v>8.9</c:v>
                </c:pt>
                <c:pt idx="89">
                  <c:v>8.2</c:v>
                </c:pt>
                <c:pt idx="90">
                  <c:v>9.9</c:v>
                </c:pt>
                <c:pt idx="91">
                  <c:v>9.8</c:v>
                </c:pt>
                <c:pt idx="92">
                  <c:v>10.2</c:v>
                </c:pt>
                <c:pt idx="93">
                  <c:v>9</c:v>
                </c:pt>
                <c:pt idx="94">
                  <c:v>9</c:v>
                </c:pt>
                <c:pt idx="95">
                  <c:v>10.4</c:v>
                </c:pt>
                <c:pt idx="96">
                  <c:v>9.1</c:v>
                </c:pt>
                <c:pt idx="97">
                  <c:v>10.4</c:v>
                </c:pt>
                <c:pt idx="98">
                  <c:v>9.8</c:v>
                </c:pt>
                <c:pt idx="99">
                  <c:v>9.1</c:v>
                </c:pt>
                <c:pt idx="100">
                  <c:v>8.5</c:v>
                </c:pt>
                <c:pt idx="101">
                  <c:v>9</c:v>
                </c:pt>
                <c:pt idx="102">
                  <c:v>10.5</c:v>
                </c:pt>
                <c:pt idx="103">
                  <c:v>9.4</c:v>
                </c:pt>
                <c:pt idx="104">
                  <c:v>8.8</c:v>
                </c:pt>
                <c:pt idx="105">
                  <c:v>9.7</c:v>
                </c:pt>
                <c:pt idx="106">
                  <c:v>10.8</c:v>
                </c:pt>
                <c:pt idx="107">
                  <c:v>8.4</c:v>
                </c:pt>
                <c:pt idx="108">
                  <c:v>9.4</c:v>
                </c:pt>
                <c:pt idx="109">
                  <c:v>9.4</c:v>
                </c:pt>
                <c:pt idx="110">
                  <c:v>9.4</c:v>
                </c:pt>
                <c:pt idx="111">
                  <c:v>9</c:v>
                </c:pt>
                <c:pt idx="112">
                  <c:v>8.9</c:v>
                </c:pt>
                <c:pt idx="113">
                  <c:v>9.7</c:v>
                </c:pt>
                <c:pt idx="114">
                  <c:v>10.7</c:v>
                </c:pt>
                <c:pt idx="115">
                  <c:v>9.4</c:v>
                </c:pt>
                <c:pt idx="116">
                  <c:v>8.7</c:v>
                </c:pt>
                <c:pt idx="117">
                  <c:v>8.7</c:v>
                </c:pt>
                <c:pt idx="118">
                  <c:v>10.5</c:v>
                </c:pt>
                <c:pt idx="119">
                  <c:v>10.8</c:v>
                </c:pt>
                <c:pt idx="120">
                  <c:v>11.8</c:v>
                </c:pt>
                <c:pt idx="121">
                  <c:v>8.7</c:v>
                </c:pt>
                <c:pt idx="122">
                  <c:v>12.3</c:v>
                </c:pt>
                <c:pt idx="123">
                  <c:v>10.6</c:v>
                </c:pt>
                <c:pt idx="124">
                  <c:v>9.8</c:v>
                </c:pt>
                <c:pt idx="125">
                  <c:v>10.1</c:v>
                </c:pt>
                <c:pt idx="126">
                  <c:v>8.9</c:v>
                </c:pt>
                <c:pt idx="127">
                  <c:v>10.8</c:v>
                </c:pt>
                <c:pt idx="128">
                  <c:v>9.4</c:v>
                </c:pt>
                <c:pt idx="129">
                  <c:v>10.4</c:v>
                </c:pt>
                <c:pt idx="130">
                  <c:v>9.9</c:v>
                </c:pt>
                <c:pt idx="131">
                  <c:v>10</c:v>
                </c:pt>
                <c:pt idx="132">
                  <c:v>9.3</c:v>
                </c:pt>
                <c:pt idx="133">
                  <c:v>10.4</c:v>
                </c:pt>
                <c:pt idx="134">
                  <c:v>8.7</c:v>
                </c:pt>
                <c:pt idx="135">
                  <c:v>11.5</c:v>
                </c:pt>
                <c:pt idx="136">
                  <c:v>9.7</c:v>
                </c:pt>
                <c:pt idx="137">
                  <c:v>9.8</c:v>
                </c:pt>
                <c:pt idx="138">
                  <c:v>9.6</c:v>
                </c:pt>
                <c:pt idx="139">
                  <c:v>8.5</c:v>
                </c:pt>
                <c:pt idx="140">
                  <c:v>12.2</c:v>
                </c:pt>
                <c:pt idx="141">
                  <c:v>9.8</c:v>
                </c:pt>
                <c:pt idx="142">
                  <c:v>9.7</c:v>
                </c:pt>
                <c:pt idx="143">
                  <c:v>8.6</c:v>
                </c:pt>
                <c:pt idx="144">
                  <c:v>10.8</c:v>
                </c:pt>
                <c:pt idx="145">
                  <c:v>9.1</c:v>
                </c:pt>
                <c:pt idx="146">
                  <c:v>8.4</c:v>
                </c:pt>
                <c:pt idx="147">
                  <c:v>10.6</c:v>
                </c:pt>
                <c:pt idx="148">
                  <c:v>10.1</c:v>
                </c:pt>
                <c:pt idx="149">
                  <c:v>9.9</c:v>
                </c:pt>
                <c:pt idx="150">
                  <c:v>9.6</c:v>
                </c:pt>
                <c:pt idx="151">
                  <c:v>9.6</c:v>
                </c:pt>
                <c:pt idx="152">
                  <c:v>9.4</c:v>
                </c:pt>
                <c:pt idx="153">
                  <c:v>9.4</c:v>
                </c:pt>
                <c:pt idx="154">
                  <c:v>9.7</c:v>
                </c:pt>
                <c:pt idx="155">
                  <c:v>10</c:v>
                </c:pt>
                <c:pt idx="156">
                  <c:v>10.7</c:v>
                </c:pt>
                <c:pt idx="157">
                  <c:v>10.4</c:v>
                </c:pt>
                <c:pt idx="158">
                  <c:v>9.3</c:v>
                </c:pt>
                <c:pt idx="159">
                  <c:v>10.6</c:v>
                </c:pt>
                <c:pt idx="160">
                  <c:v>10.3</c:v>
                </c:pt>
                <c:pt idx="161">
                  <c:v>9.3</c:v>
                </c:pt>
                <c:pt idx="162">
                  <c:v>8.7</c:v>
                </c:pt>
                <c:pt idx="163">
                  <c:v>10.3</c:v>
                </c:pt>
                <c:pt idx="164">
                  <c:v>8.9</c:v>
                </c:pt>
                <c:pt idx="165">
                  <c:v>8.9</c:v>
                </c:pt>
                <c:pt idx="166">
                  <c:v>11.1</c:v>
                </c:pt>
                <c:pt idx="167">
                  <c:v>12.3</c:v>
                </c:pt>
                <c:pt idx="168">
                  <c:v>9.6</c:v>
                </c:pt>
                <c:pt idx="169">
                  <c:v>11.2</c:v>
                </c:pt>
                <c:pt idx="170">
                  <c:v>11.3</c:v>
                </c:pt>
                <c:pt idx="171">
                  <c:v>10</c:v>
                </c:pt>
                <c:pt idx="172">
                  <c:v>12.1</c:v>
                </c:pt>
                <c:pt idx="173">
                  <c:v>10.4</c:v>
                </c:pt>
                <c:pt idx="174">
                  <c:v>10.9</c:v>
                </c:pt>
                <c:pt idx="175">
                  <c:v>11.5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717100"/>
        <c:axId val="88442524"/>
      </c:lineChart>
      <c:catAx>
        <c:axId val="787171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442524"/>
        <c:crosses val="autoZero"/>
        <c:auto val="1"/>
        <c:lblAlgn val="ctr"/>
        <c:lblOffset val="100"/>
        <c:noMultiLvlLbl val="0"/>
      </c:catAx>
      <c:valAx>
        <c:axId val="884425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71710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L-09: CPU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ряды'!G515</c:f>
              <c:strCache>
                <c:ptCount val="1"/>
                <c:pt idx="0">
                  <c:v>CPU java, %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ряды'!$A$516:$A$691</c:f>
              <c:strCache>
                <c:ptCount val="17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</c:strCache>
            </c:strRef>
          </c:cat>
          <c:val>
            <c:numRef>
              <c:f>'Временные ряды'!$G$516:$G$691</c:f>
              <c:numCache>
                <c:formatCode>General</c:formatCode>
                <c:ptCount val="176"/>
                <c:pt idx="0">
                  <c:v>67.4</c:v>
                </c:pt>
                <c:pt idx="1">
                  <c:v>15.1</c:v>
                </c:pt>
                <c:pt idx="2">
                  <c:v>11.6</c:v>
                </c:pt>
                <c:pt idx="3">
                  <c:v>11</c:v>
                </c:pt>
                <c:pt idx="4">
                  <c:v>12.6</c:v>
                </c:pt>
                <c:pt idx="5">
                  <c:v>20.5</c:v>
                </c:pt>
                <c:pt idx="6">
                  <c:v>13</c:v>
                </c:pt>
                <c:pt idx="7">
                  <c:v>10.7</c:v>
                </c:pt>
                <c:pt idx="8">
                  <c:v>13.8</c:v>
                </c:pt>
                <c:pt idx="9">
                  <c:v>11.8</c:v>
                </c:pt>
                <c:pt idx="10">
                  <c:v>10.4</c:v>
                </c:pt>
                <c:pt idx="11">
                  <c:v>13.6</c:v>
                </c:pt>
                <c:pt idx="12">
                  <c:v>12.6</c:v>
                </c:pt>
                <c:pt idx="13">
                  <c:v>11.2</c:v>
                </c:pt>
                <c:pt idx="14">
                  <c:v>12</c:v>
                </c:pt>
                <c:pt idx="15">
                  <c:v>13.6</c:v>
                </c:pt>
                <c:pt idx="16">
                  <c:v>9.6</c:v>
                </c:pt>
                <c:pt idx="17">
                  <c:v>13</c:v>
                </c:pt>
                <c:pt idx="18">
                  <c:v>13</c:v>
                </c:pt>
                <c:pt idx="19">
                  <c:v>12.8</c:v>
                </c:pt>
                <c:pt idx="20">
                  <c:v>18.4</c:v>
                </c:pt>
                <c:pt idx="21">
                  <c:v>11.8</c:v>
                </c:pt>
                <c:pt idx="22">
                  <c:v>12.2</c:v>
                </c:pt>
                <c:pt idx="23">
                  <c:v>12.4</c:v>
                </c:pt>
                <c:pt idx="24">
                  <c:v>12.6</c:v>
                </c:pt>
                <c:pt idx="25">
                  <c:v>11.9</c:v>
                </c:pt>
                <c:pt idx="26">
                  <c:v>13.2</c:v>
                </c:pt>
                <c:pt idx="27">
                  <c:v>11.6</c:v>
                </c:pt>
                <c:pt idx="28">
                  <c:v>13.5</c:v>
                </c:pt>
                <c:pt idx="29">
                  <c:v>13</c:v>
                </c:pt>
                <c:pt idx="30">
                  <c:v>11.6</c:v>
                </c:pt>
                <c:pt idx="31">
                  <c:v>11.2</c:v>
                </c:pt>
                <c:pt idx="32">
                  <c:v>-77.2</c:v>
                </c:pt>
                <c:pt idx="33">
                  <c:v>13.2</c:v>
                </c:pt>
                <c:pt idx="34">
                  <c:v>11</c:v>
                </c:pt>
                <c:pt idx="35">
                  <c:v>12.4</c:v>
                </c:pt>
                <c:pt idx="36">
                  <c:v>12.9</c:v>
                </c:pt>
                <c:pt idx="37">
                  <c:v>12.9</c:v>
                </c:pt>
                <c:pt idx="38">
                  <c:v>10.8</c:v>
                </c:pt>
                <c:pt idx="39">
                  <c:v>-5.3</c:v>
                </c:pt>
                <c:pt idx="40">
                  <c:v>11.8</c:v>
                </c:pt>
                <c:pt idx="41">
                  <c:v>10</c:v>
                </c:pt>
                <c:pt idx="42">
                  <c:v>11.6</c:v>
                </c:pt>
                <c:pt idx="43">
                  <c:v>12.8</c:v>
                </c:pt>
                <c:pt idx="44">
                  <c:v>9.2</c:v>
                </c:pt>
                <c:pt idx="45">
                  <c:v>2</c:v>
                </c:pt>
                <c:pt idx="46">
                  <c:v>13.4</c:v>
                </c:pt>
                <c:pt idx="47">
                  <c:v>9.8</c:v>
                </c:pt>
                <c:pt idx="48">
                  <c:v>13.8</c:v>
                </c:pt>
                <c:pt idx="49">
                  <c:v>10.8</c:v>
                </c:pt>
                <c:pt idx="50">
                  <c:v>15.3</c:v>
                </c:pt>
                <c:pt idx="51">
                  <c:v>3.4</c:v>
                </c:pt>
                <c:pt idx="52">
                  <c:v>12</c:v>
                </c:pt>
                <c:pt idx="53">
                  <c:v>14.1</c:v>
                </c:pt>
                <c:pt idx="54">
                  <c:v>15.7</c:v>
                </c:pt>
                <c:pt idx="55">
                  <c:v>11.4</c:v>
                </c:pt>
                <c:pt idx="56">
                  <c:v>11.8</c:v>
                </c:pt>
                <c:pt idx="57">
                  <c:v>13.1</c:v>
                </c:pt>
                <c:pt idx="58">
                  <c:v>11.4</c:v>
                </c:pt>
                <c:pt idx="59">
                  <c:v>11.6</c:v>
                </c:pt>
                <c:pt idx="60">
                  <c:v>8</c:v>
                </c:pt>
                <c:pt idx="61">
                  <c:v>12.6</c:v>
                </c:pt>
                <c:pt idx="62">
                  <c:v>12.8</c:v>
                </c:pt>
                <c:pt idx="63">
                  <c:v>12.9</c:v>
                </c:pt>
                <c:pt idx="64">
                  <c:v>14.5</c:v>
                </c:pt>
                <c:pt idx="65">
                  <c:v>11</c:v>
                </c:pt>
                <c:pt idx="66">
                  <c:v>12.4</c:v>
                </c:pt>
                <c:pt idx="67">
                  <c:v>12.7</c:v>
                </c:pt>
                <c:pt idx="68">
                  <c:v>11.2</c:v>
                </c:pt>
                <c:pt idx="69">
                  <c:v>12.5</c:v>
                </c:pt>
                <c:pt idx="70">
                  <c:v>14.5</c:v>
                </c:pt>
                <c:pt idx="71">
                  <c:v>13.1</c:v>
                </c:pt>
                <c:pt idx="72">
                  <c:v>12</c:v>
                </c:pt>
                <c:pt idx="73">
                  <c:v>10</c:v>
                </c:pt>
                <c:pt idx="74">
                  <c:v>13.8</c:v>
                </c:pt>
                <c:pt idx="75">
                  <c:v>13.1</c:v>
                </c:pt>
                <c:pt idx="76">
                  <c:v>11</c:v>
                </c:pt>
                <c:pt idx="77">
                  <c:v>14.7</c:v>
                </c:pt>
                <c:pt idx="78">
                  <c:v>22.6</c:v>
                </c:pt>
                <c:pt idx="79">
                  <c:v>10.2</c:v>
                </c:pt>
                <c:pt idx="80">
                  <c:v>12</c:v>
                </c:pt>
                <c:pt idx="81">
                  <c:v>14.1</c:v>
                </c:pt>
                <c:pt idx="82">
                  <c:v>9.6</c:v>
                </c:pt>
                <c:pt idx="83">
                  <c:v>15.7</c:v>
                </c:pt>
                <c:pt idx="84">
                  <c:v>11.2</c:v>
                </c:pt>
                <c:pt idx="85">
                  <c:v>12.6</c:v>
                </c:pt>
                <c:pt idx="86">
                  <c:v>12</c:v>
                </c:pt>
                <c:pt idx="87">
                  <c:v>12.5</c:v>
                </c:pt>
                <c:pt idx="88">
                  <c:v>35.8</c:v>
                </c:pt>
                <c:pt idx="89">
                  <c:v>10.6</c:v>
                </c:pt>
                <c:pt idx="90">
                  <c:v>12</c:v>
                </c:pt>
                <c:pt idx="91">
                  <c:v>13</c:v>
                </c:pt>
                <c:pt idx="92">
                  <c:v>11.8</c:v>
                </c:pt>
                <c:pt idx="93">
                  <c:v>11.2</c:v>
                </c:pt>
                <c:pt idx="94">
                  <c:v>3.9</c:v>
                </c:pt>
                <c:pt idx="95">
                  <c:v>12.7</c:v>
                </c:pt>
                <c:pt idx="96">
                  <c:v>11.5</c:v>
                </c:pt>
                <c:pt idx="97">
                  <c:v>13.1</c:v>
                </c:pt>
                <c:pt idx="98">
                  <c:v>13.9</c:v>
                </c:pt>
                <c:pt idx="99">
                  <c:v>12.6</c:v>
                </c:pt>
                <c:pt idx="100">
                  <c:v>10.5</c:v>
                </c:pt>
                <c:pt idx="101">
                  <c:v>11.8</c:v>
                </c:pt>
                <c:pt idx="102">
                  <c:v>13.9</c:v>
                </c:pt>
                <c:pt idx="103">
                  <c:v>11.8</c:v>
                </c:pt>
                <c:pt idx="104">
                  <c:v>10.6</c:v>
                </c:pt>
                <c:pt idx="105">
                  <c:v>13.2</c:v>
                </c:pt>
                <c:pt idx="106">
                  <c:v>14</c:v>
                </c:pt>
                <c:pt idx="107">
                  <c:v>-36.2</c:v>
                </c:pt>
                <c:pt idx="108">
                  <c:v>13</c:v>
                </c:pt>
                <c:pt idx="109">
                  <c:v>12.2</c:v>
                </c:pt>
                <c:pt idx="110">
                  <c:v>11.6</c:v>
                </c:pt>
                <c:pt idx="111">
                  <c:v>12.4</c:v>
                </c:pt>
                <c:pt idx="112">
                  <c:v>13.3</c:v>
                </c:pt>
                <c:pt idx="113">
                  <c:v>91.2</c:v>
                </c:pt>
                <c:pt idx="114">
                  <c:v>10.2</c:v>
                </c:pt>
                <c:pt idx="115">
                  <c:v>14.5</c:v>
                </c:pt>
                <c:pt idx="116">
                  <c:v>10.2</c:v>
                </c:pt>
                <c:pt idx="117">
                  <c:v>9.8</c:v>
                </c:pt>
                <c:pt idx="118">
                  <c:v>10</c:v>
                </c:pt>
                <c:pt idx="119">
                  <c:v>13.7</c:v>
                </c:pt>
                <c:pt idx="120">
                  <c:v>-7.7</c:v>
                </c:pt>
                <c:pt idx="121">
                  <c:v>12</c:v>
                </c:pt>
                <c:pt idx="122">
                  <c:v>14.9</c:v>
                </c:pt>
                <c:pt idx="123">
                  <c:v>13.3</c:v>
                </c:pt>
                <c:pt idx="124">
                  <c:v>13</c:v>
                </c:pt>
                <c:pt idx="125">
                  <c:v>11</c:v>
                </c:pt>
                <c:pt idx="126">
                  <c:v>-38.9</c:v>
                </c:pt>
                <c:pt idx="127">
                  <c:v>14.1</c:v>
                </c:pt>
                <c:pt idx="128">
                  <c:v>10.6</c:v>
                </c:pt>
                <c:pt idx="129">
                  <c:v>12.6</c:v>
                </c:pt>
                <c:pt idx="130">
                  <c:v>11.8</c:v>
                </c:pt>
                <c:pt idx="131">
                  <c:v>12.6</c:v>
                </c:pt>
                <c:pt idx="132">
                  <c:v>7.4</c:v>
                </c:pt>
                <c:pt idx="133">
                  <c:v>13.2</c:v>
                </c:pt>
                <c:pt idx="134">
                  <c:v>9.8</c:v>
                </c:pt>
                <c:pt idx="135">
                  <c:v>14.1</c:v>
                </c:pt>
                <c:pt idx="136">
                  <c:v>12.4</c:v>
                </c:pt>
                <c:pt idx="137">
                  <c:v>16.1</c:v>
                </c:pt>
                <c:pt idx="138">
                  <c:v>4.6</c:v>
                </c:pt>
                <c:pt idx="139">
                  <c:v>12.8</c:v>
                </c:pt>
                <c:pt idx="140">
                  <c:v>12.1</c:v>
                </c:pt>
                <c:pt idx="141">
                  <c:v>12.2</c:v>
                </c:pt>
                <c:pt idx="142">
                  <c:v>11.4</c:v>
                </c:pt>
                <c:pt idx="143">
                  <c:v>12.2</c:v>
                </c:pt>
                <c:pt idx="144">
                  <c:v>0.8</c:v>
                </c:pt>
                <c:pt idx="145">
                  <c:v>10</c:v>
                </c:pt>
                <c:pt idx="146">
                  <c:v>12.4</c:v>
                </c:pt>
                <c:pt idx="147">
                  <c:v>15.9</c:v>
                </c:pt>
                <c:pt idx="148">
                  <c:v>12.2</c:v>
                </c:pt>
                <c:pt idx="149">
                  <c:v>11.8</c:v>
                </c:pt>
                <c:pt idx="150">
                  <c:v>12.6</c:v>
                </c:pt>
                <c:pt idx="151">
                  <c:v>0.9</c:v>
                </c:pt>
                <c:pt idx="152">
                  <c:v>12</c:v>
                </c:pt>
                <c:pt idx="153">
                  <c:v>12.5</c:v>
                </c:pt>
                <c:pt idx="154">
                  <c:v>12.3</c:v>
                </c:pt>
                <c:pt idx="155">
                  <c:v>12.2</c:v>
                </c:pt>
                <c:pt idx="156">
                  <c:v>12</c:v>
                </c:pt>
                <c:pt idx="157">
                  <c:v>4.1</c:v>
                </c:pt>
                <c:pt idx="158">
                  <c:v>11.2</c:v>
                </c:pt>
                <c:pt idx="159">
                  <c:v>12.6</c:v>
                </c:pt>
                <c:pt idx="160">
                  <c:v>14.1</c:v>
                </c:pt>
                <c:pt idx="161">
                  <c:v>11.1</c:v>
                </c:pt>
                <c:pt idx="162">
                  <c:v>10.4</c:v>
                </c:pt>
                <c:pt idx="163">
                  <c:v>6.4</c:v>
                </c:pt>
                <c:pt idx="164">
                  <c:v>11.2</c:v>
                </c:pt>
                <c:pt idx="165">
                  <c:v>11.6</c:v>
                </c:pt>
                <c:pt idx="166">
                  <c:v>11.2</c:v>
                </c:pt>
                <c:pt idx="167">
                  <c:v>14.6</c:v>
                </c:pt>
                <c:pt idx="168">
                  <c:v>12.3</c:v>
                </c:pt>
                <c:pt idx="169">
                  <c:v>7.8</c:v>
                </c:pt>
                <c:pt idx="170">
                  <c:v>16.9</c:v>
                </c:pt>
                <c:pt idx="171">
                  <c:v>11.7</c:v>
                </c:pt>
                <c:pt idx="172">
                  <c:v>15.8</c:v>
                </c:pt>
                <c:pt idx="173">
                  <c:v>14.1</c:v>
                </c:pt>
                <c:pt idx="174">
                  <c:v>14.7</c:v>
                </c:pt>
                <c:pt idx="175">
                  <c:v>7.9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ряды'!H515</c:f>
              <c:strCache>
                <c:ptCount val="1"/>
                <c:pt idx="0">
                  <c:v>CPU mysqld, %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ряды'!$A$516:$A$691</c:f>
              <c:strCache>
                <c:ptCount val="17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</c:strCache>
            </c:strRef>
          </c:cat>
          <c:val>
            <c:numRef>
              <c:f>'Временные ряды'!$H$516:$H$691</c:f>
              <c:numCache>
                <c:formatCode>General</c:formatCode>
                <c:ptCount val="176"/>
                <c:pt idx="0">
                  <c:v>16</c:v>
                </c:pt>
                <c:pt idx="1">
                  <c:v>12.3</c:v>
                </c:pt>
                <c:pt idx="2">
                  <c:v>10.6</c:v>
                </c:pt>
                <c:pt idx="3">
                  <c:v>10.2</c:v>
                </c:pt>
                <c:pt idx="4">
                  <c:v>12.2</c:v>
                </c:pt>
                <c:pt idx="5">
                  <c:v>12.9</c:v>
                </c:pt>
                <c:pt idx="6">
                  <c:v>10.8</c:v>
                </c:pt>
                <c:pt idx="7">
                  <c:v>11.6</c:v>
                </c:pt>
                <c:pt idx="8">
                  <c:v>13.5</c:v>
                </c:pt>
                <c:pt idx="9">
                  <c:v>11.4</c:v>
                </c:pt>
                <c:pt idx="10">
                  <c:v>9.3</c:v>
                </c:pt>
                <c:pt idx="11">
                  <c:v>13.4</c:v>
                </c:pt>
                <c:pt idx="12">
                  <c:v>12.4</c:v>
                </c:pt>
                <c:pt idx="13">
                  <c:v>11.2</c:v>
                </c:pt>
                <c:pt idx="14">
                  <c:v>11.4</c:v>
                </c:pt>
                <c:pt idx="15">
                  <c:v>11.8</c:v>
                </c:pt>
                <c:pt idx="16">
                  <c:v>10</c:v>
                </c:pt>
                <c:pt idx="17">
                  <c:v>12.4</c:v>
                </c:pt>
                <c:pt idx="18">
                  <c:v>12.6</c:v>
                </c:pt>
                <c:pt idx="19">
                  <c:v>11.6</c:v>
                </c:pt>
                <c:pt idx="20">
                  <c:v>20.5</c:v>
                </c:pt>
                <c:pt idx="21">
                  <c:v>11.8</c:v>
                </c:pt>
                <c:pt idx="22">
                  <c:v>11.8</c:v>
                </c:pt>
                <c:pt idx="23">
                  <c:v>12.4</c:v>
                </c:pt>
                <c:pt idx="24">
                  <c:v>12.8</c:v>
                </c:pt>
                <c:pt idx="25">
                  <c:v>11.2</c:v>
                </c:pt>
                <c:pt idx="26">
                  <c:v>13.2</c:v>
                </c:pt>
                <c:pt idx="27">
                  <c:v>11.8</c:v>
                </c:pt>
                <c:pt idx="28">
                  <c:v>13</c:v>
                </c:pt>
                <c:pt idx="29">
                  <c:v>12</c:v>
                </c:pt>
                <c:pt idx="30">
                  <c:v>10.8</c:v>
                </c:pt>
                <c:pt idx="31">
                  <c:v>11.2</c:v>
                </c:pt>
                <c:pt idx="32">
                  <c:v>-117.3</c:v>
                </c:pt>
                <c:pt idx="33">
                  <c:v>12.6</c:v>
                </c:pt>
                <c:pt idx="34">
                  <c:v>10.8</c:v>
                </c:pt>
                <c:pt idx="35">
                  <c:v>12.6</c:v>
                </c:pt>
                <c:pt idx="36">
                  <c:v>11.9</c:v>
                </c:pt>
                <c:pt idx="37">
                  <c:v>12.5</c:v>
                </c:pt>
                <c:pt idx="38">
                  <c:v>12.7</c:v>
                </c:pt>
                <c:pt idx="39">
                  <c:v>-0.8</c:v>
                </c:pt>
                <c:pt idx="40">
                  <c:v>10.8</c:v>
                </c:pt>
                <c:pt idx="41">
                  <c:v>11.4</c:v>
                </c:pt>
                <c:pt idx="42">
                  <c:v>11.1</c:v>
                </c:pt>
                <c:pt idx="43">
                  <c:v>11.4</c:v>
                </c:pt>
                <c:pt idx="44">
                  <c:v>10.2</c:v>
                </c:pt>
                <c:pt idx="45">
                  <c:v>5.5</c:v>
                </c:pt>
                <c:pt idx="46">
                  <c:v>12.6</c:v>
                </c:pt>
                <c:pt idx="47">
                  <c:v>11.6</c:v>
                </c:pt>
                <c:pt idx="48">
                  <c:v>12.3</c:v>
                </c:pt>
                <c:pt idx="49">
                  <c:v>10.2</c:v>
                </c:pt>
                <c:pt idx="50">
                  <c:v>14.9</c:v>
                </c:pt>
                <c:pt idx="51">
                  <c:v>5.1</c:v>
                </c:pt>
                <c:pt idx="52">
                  <c:v>13.5</c:v>
                </c:pt>
                <c:pt idx="53">
                  <c:v>12.3</c:v>
                </c:pt>
                <c:pt idx="54">
                  <c:v>12.8</c:v>
                </c:pt>
                <c:pt idx="55">
                  <c:v>11.8</c:v>
                </c:pt>
                <c:pt idx="56">
                  <c:v>11.8</c:v>
                </c:pt>
                <c:pt idx="57">
                  <c:v>11.1</c:v>
                </c:pt>
                <c:pt idx="58">
                  <c:v>13</c:v>
                </c:pt>
                <c:pt idx="59">
                  <c:v>11.6</c:v>
                </c:pt>
                <c:pt idx="60">
                  <c:v>8.5</c:v>
                </c:pt>
                <c:pt idx="61">
                  <c:v>12</c:v>
                </c:pt>
                <c:pt idx="62">
                  <c:v>13.3</c:v>
                </c:pt>
                <c:pt idx="63">
                  <c:v>12</c:v>
                </c:pt>
                <c:pt idx="64">
                  <c:v>12.5</c:v>
                </c:pt>
                <c:pt idx="65">
                  <c:v>12.3</c:v>
                </c:pt>
                <c:pt idx="66">
                  <c:v>11.2</c:v>
                </c:pt>
                <c:pt idx="67">
                  <c:v>12.7</c:v>
                </c:pt>
                <c:pt idx="68">
                  <c:v>11</c:v>
                </c:pt>
                <c:pt idx="69">
                  <c:v>12.2</c:v>
                </c:pt>
                <c:pt idx="70">
                  <c:v>14.7</c:v>
                </c:pt>
                <c:pt idx="71">
                  <c:v>11.4</c:v>
                </c:pt>
                <c:pt idx="72">
                  <c:v>11.2</c:v>
                </c:pt>
                <c:pt idx="73">
                  <c:v>11.8</c:v>
                </c:pt>
                <c:pt idx="74">
                  <c:v>11</c:v>
                </c:pt>
                <c:pt idx="75">
                  <c:v>11.3</c:v>
                </c:pt>
                <c:pt idx="76">
                  <c:v>12.3</c:v>
                </c:pt>
                <c:pt idx="77">
                  <c:v>12.5</c:v>
                </c:pt>
                <c:pt idx="78">
                  <c:v>11.6</c:v>
                </c:pt>
                <c:pt idx="79">
                  <c:v>11.6</c:v>
                </c:pt>
                <c:pt idx="80">
                  <c:v>11.5</c:v>
                </c:pt>
                <c:pt idx="81">
                  <c:v>11.3</c:v>
                </c:pt>
                <c:pt idx="82">
                  <c:v>10.8</c:v>
                </c:pt>
                <c:pt idx="83">
                  <c:v>12.5</c:v>
                </c:pt>
                <c:pt idx="84">
                  <c:v>10.4</c:v>
                </c:pt>
                <c:pt idx="85">
                  <c:v>12.6</c:v>
                </c:pt>
                <c:pt idx="86">
                  <c:v>12.8</c:v>
                </c:pt>
                <c:pt idx="87">
                  <c:v>10.9</c:v>
                </c:pt>
                <c:pt idx="88">
                  <c:v>24.4</c:v>
                </c:pt>
                <c:pt idx="89">
                  <c:v>12</c:v>
                </c:pt>
                <c:pt idx="90">
                  <c:v>12.2</c:v>
                </c:pt>
                <c:pt idx="91">
                  <c:v>12.1</c:v>
                </c:pt>
                <c:pt idx="92">
                  <c:v>11.8</c:v>
                </c:pt>
                <c:pt idx="93">
                  <c:v>11.4</c:v>
                </c:pt>
                <c:pt idx="94">
                  <c:v>2.8</c:v>
                </c:pt>
                <c:pt idx="95">
                  <c:v>13.1</c:v>
                </c:pt>
                <c:pt idx="96">
                  <c:v>11.3</c:v>
                </c:pt>
                <c:pt idx="97">
                  <c:v>12.9</c:v>
                </c:pt>
                <c:pt idx="98">
                  <c:v>11.8</c:v>
                </c:pt>
                <c:pt idx="99">
                  <c:v>11.2</c:v>
                </c:pt>
                <c:pt idx="100">
                  <c:v>11.8</c:v>
                </c:pt>
                <c:pt idx="101">
                  <c:v>12</c:v>
                </c:pt>
                <c:pt idx="102">
                  <c:v>11.6</c:v>
                </c:pt>
                <c:pt idx="103">
                  <c:v>11.6</c:v>
                </c:pt>
                <c:pt idx="104">
                  <c:v>12.4</c:v>
                </c:pt>
                <c:pt idx="105">
                  <c:v>13.4</c:v>
                </c:pt>
                <c:pt idx="106">
                  <c:v>10.8</c:v>
                </c:pt>
                <c:pt idx="107">
                  <c:v>-48.5</c:v>
                </c:pt>
                <c:pt idx="108">
                  <c:v>13.6</c:v>
                </c:pt>
                <c:pt idx="109">
                  <c:v>12.2</c:v>
                </c:pt>
                <c:pt idx="110">
                  <c:v>11.2</c:v>
                </c:pt>
                <c:pt idx="111">
                  <c:v>11.8</c:v>
                </c:pt>
                <c:pt idx="112">
                  <c:v>12.3</c:v>
                </c:pt>
                <c:pt idx="113">
                  <c:v>69.2</c:v>
                </c:pt>
                <c:pt idx="114">
                  <c:v>12.2</c:v>
                </c:pt>
                <c:pt idx="115">
                  <c:v>12.8</c:v>
                </c:pt>
                <c:pt idx="116">
                  <c:v>11</c:v>
                </c:pt>
                <c:pt idx="117">
                  <c:v>9.6</c:v>
                </c:pt>
                <c:pt idx="118">
                  <c:v>10.4</c:v>
                </c:pt>
                <c:pt idx="119">
                  <c:v>12.4</c:v>
                </c:pt>
                <c:pt idx="120">
                  <c:v>-8.3</c:v>
                </c:pt>
                <c:pt idx="121">
                  <c:v>13</c:v>
                </c:pt>
                <c:pt idx="122">
                  <c:v>12.4</c:v>
                </c:pt>
                <c:pt idx="123">
                  <c:v>13.3</c:v>
                </c:pt>
                <c:pt idx="124">
                  <c:v>11.8</c:v>
                </c:pt>
                <c:pt idx="125">
                  <c:v>13.1</c:v>
                </c:pt>
                <c:pt idx="126">
                  <c:v>-20.1</c:v>
                </c:pt>
                <c:pt idx="127">
                  <c:v>12.6</c:v>
                </c:pt>
                <c:pt idx="128">
                  <c:v>12.5</c:v>
                </c:pt>
                <c:pt idx="129">
                  <c:v>12.8</c:v>
                </c:pt>
                <c:pt idx="130">
                  <c:v>11.6</c:v>
                </c:pt>
                <c:pt idx="131">
                  <c:v>12.8</c:v>
                </c:pt>
                <c:pt idx="132">
                  <c:v>5.9</c:v>
                </c:pt>
                <c:pt idx="133">
                  <c:v>11.8</c:v>
                </c:pt>
                <c:pt idx="134">
                  <c:v>12</c:v>
                </c:pt>
                <c:pt idx="135">
                  <c:v>13.1</c:v>
                </c:pt>
                <c:pt idx="136">
                  <c:v>11.8</c:v>
                </c:pt>
                <c:pt idx="137">
                  <c:v>13.3</c:v>
                </c:pt>
                <c:pt idx="138">
                  <c:v>3.8</c:v>
                </c:pt>
                <c:pt idx="139">
                  <c:v>12.4</c:v>
                </c:pt>
                <c:pt idx="140">
                  <c:v>11.7</c:v>
                </c:pt>
                <c:pt idx="141">
                  <c:v>12.6</c:v>
                </c:pt>
                <c:pt idx="142">
                  <c:v>11.8</c:v>
                </c:pt>
                <c:pt idx="143">
                  <c:v>13</c:v>
                </c:pt>
                <c:pt idx="144">
                  <c:v>-2</c:v>
                </c:pt>
                <c:pt idx="145">
                  <c:v>10.3</c:v>
                </c:pt>
                <c:pt idx="146">
                  <c:v>12</c:v>
                </c:pt>
                <c:pt idx="147">
                  <c:v>13.5</c:v>
                </c:pt>
                <c:pt idx="148">
                  <c:v>12.5</c:v>
                </c:pt>
                <c:pt idx="149">
                  <c:v>12</c:v>
                </c:pt>
                <c:pt idx="150">
                  <c:v>11.4</c:v>
                </c:pt>
                <c:pt idx="151">
                  <c:v>3.7</c:v>
                </c:pt>
                <c:pt idx="152">
                  <c:v>12.2</c:v>
                </c:pt>
                <c:pt idx="153">
                  <c:v>12.3</c:v>
                </c:pt>
                <c:pt idx="154">
                  <c:v>12.7</c:v>
                </c:pt>
                <c:pt idx="155">
                  <c:v>11.6</c:v>
                </c:pt>
                <c:pt idx="156">
                  <c:v>12.3</c:v>
                </c:pt>
                <c:pt idx="157">
                  <c:v>3.8</c:v>
                </c:pt>
                <c:pt idx="158">
                  <c:v>10.6</c:v>
                </c:pt>
                <c:pt idx="159">
                  <c:v>13.7</c:v>
                </c:pt>
                <c:pt idx="160">
                  <c:v>11.6</c:v>
                </c:pt>
                <c:pt idx="161">
                  <c:v>12.1</c:v>
                </c:pt>
                <c:pt idx="162">
                  <c:v>12.5</c:v>
                </c:pt>
                <c:pt idx="163">
                  <c:v>2.5</c:v>
                </c:pt>
                <c:pt idx="164">
                  <c:v>11.6</c:v>
                </c:pt>
                <c:pt idx="165">
                  <c:v>12</c:v>
                </c:pt>
                <c:pt idx="166">
                  <c:v>12.9</c:v>
                </c:pt>
                <c:pt idx="167">
                  <c:v>12.3</c:v>
                </c:pt>
                <c:pt idx="168">
                  <c:v>12.1</c:v>
                </c:pt>
                <c:pt idx="169">
                  <c:v>6.8</c:v>
                </c:pt>
                <c:pt idx="170">
                  <c:v>12.6</c:v>
                </c:pt>
                <c:pt idx="171">
                  <c:v>11.7</c:v>
                </c:pt>
                <c:pt idx="172">
                  <c:v>12.7</c:v>
                </c:pt>
                <c:pt idx="173">
                  <c:v>13.3</c:v>
                </c:pt>
                <c:pt idx="174">
                  <c:v>12</c:v>
                </c:pt>
                <c:pt idx="175">
                  <c:v>5.7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'Временные ряды'!I515</c:f>
              <c:strCache>
                <c:ptCount val="1"/>
                <c:pt idx="0">
                  <c:v>CPU машины, 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ряды'!$A$516:$A$691</c:f>
              <c:strCache>
                <c:ptCount val="17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</c:strCache>
            </c:strRef>
          </c:cat>
          <c:val>
            <c:numRef>
              <c:f>'Временные ряды'!$I$516:$I$691</c:f>
              <c:numCache>
                <c:formatCode>General</c:formatCode>
                <c:ptCount val="176"/>
                <c:pt idx="0">
                  <c:v>6.6</c:v>
                </c:pt>
                <c:pt idx="1">
                  <c:v>3.4</c:v>
                </c:pt>
                <c:pt idx="2">
                  <c:v>2.8</c:v>
                </c:pt>
                <c:pt idx="3">
                  <c:v>2.4</c:v>
                </c:pt>
                <c:pt idx="4">
                  <c:v>2.4</c:v>
                </c:pt>
                <c:pt idx="5">
                  <c:v>4.2</c:v>
                </c:pt>
                <c:pt idx="6">
                  <c:v>2.7</c:v>
                </c:pt>
                <c:pt idx="7">
                  <c:v>1.7</c:v>
                </c:pt>
                <c:pt idx="8">
                  <c:v>2.6</c:v>
                </c:pt>
                <c:pt idx="9">
                  <c:v>2.4</c:v>
                </c:pt>
                <c:pt idx="10">
                  <c:v>2.1</c:v>
                </c:pt>
                <c:pt idx="11">
                  <c:v>2.9</c:v>
                </c:pt>
                <c:pt idx="12">
                  <c:v>2.5</c:v>
                </c:pt>
                <c:pt idx="13">
                  <c:v>1.9</c:v>
                </c:pt>
                <c:pt idx="14">
                  <c:v>2.5</c:v>
                </c:pt>
                <c:pt idx="15">
                  <c:v>3</c:v>
                </c:pt>
                <c:pt idx="16">
                  <c:v>2.1</c:v>
                </c:pt>
                <c:pt idx="17">
                  <c:v>2.6</c:v>
                </c:pt>
                <c:pt idx="18">
                  <c:v>2.4</c:v>
                </c:pt>
                <c:pt idx="19">
                  <c:v>2.4</c:v>
                </c:pt>
                <c:pt idx="20">
                  <c:v>2.4</c:v>
                </c:pt>
                <c:pt idx="21">
                  <c:v>2.4</c:v>
                </c:pt>
                <c:pt idx="22">
                  <c:v>2.6</c:v>
                </c:pt>
                <c:pt idx="23">
                  <c:v>2.5</c:v>
                </c:pt>
                <c:pt idx="24">
                  <c:v>2.9</c:v>
                </c:pt>
                <c:pt idx="25">
                  <c:v>2.3</c:v>
                </c:pt>
                <c:pt idx="26">
                  <c:v>2.9</c:v>
                </c:pt>
                <c:pt idx="27">
                  <c:v>2.7</c:v>
                </c:pt>
                <c:pt idx="28">
                  <c:v>2.6</c:v>
                </c:pt>
                <c:pt idx="29">
                  <c:v>2.5</c:v>
                </c:pt>
                <c:pt idx="30">
                  <c:v>2.1</c:v>
                </c:pt>
                <c:pt idx="31">
                  <c:v>2.3</c:v>
                </c:pt>
                <c:pt idx="32">
                  <c:v>2.7</c:v>
                </c:pt>
                <c:pt idx="33">
                  <c:v>2.4</c:v>
                </c:pt>
                <c:pt idx="34">
                  <c:v>2.3</c:v>
                </c:pt>
                <c:pt idx="35">
                  <c:v>3</c:v>
                </c:pt>
                <c:pt idx="36">
                  <c:v>2.6</c:v>
                </c:pt>
                <c:pt idx="37">
                  <c:v>2.8</c:v>
                </c:pt>
                <c:pt idx="38">
                  <c:v>2.1</c:v>
                </c:pt>
                <c:pt idx="39">
                  <c:v>3</c:v>
                </c:pt>
                <c:pt idx="40">
                  <c:v>2.3</c:v>
                </c:pt>
                <c:pt idx="41">
                  <c:v>2</c:v>
                </c:pt>
                <c:pt idx="42">
                  <c:v>2.3</c:v>
                </c:pt>
                <c:pt idx="43">
                  <c:v>2.2</c:v>
                </c:pt>
                <c:pt idx="44">
                  <c:v>1.7</c:v>
                </c:pt>
                <c:pt idx="45">
                  <c:v>2.3</c:v>
                </c:pt>
                <c:pt idx="46">
                  <c:v>2.8</c:v>
                </c:pt>
                <c:pt idx="47">
                  <c:v>1.8</c:v>
                </c:pt>
                <c:pt idx="48">
                  <c:v>2.8</c:v>
                </c:pt>
                <c:pt idx="49">
                  <c:v>2.2</c:v>
                </c:pt>
                <c:pt idx="50">
                  <c:v>2.7</c:v>
                </c:pt>
                <c:pt idx="51">
                  <c:v>2.6</c:v>
                </c:pt>
                <c:pt idx="52">
                  <c:v>2.8</c:v>
                </c:pt>
                <c:pt idx="53">
                  <c:v>2.4</c:v>
                </c:pt>
                <c:pt idx="54">
                  <c:v>2.7</c:v>
                </c:pt>
                <c:pt idx="55">
                  <c:v>2.3</c:v>
                </c:pt>
                <c:pt idx="56">
                  <c:v>2.1</c:v>
                </c:pt>
                <c:pt idx="57">
                  <c:v>2.7</c:v>
                </c:pt>
                <c:pt idx="58">
                  <c:v>2.4</c:v>
                </c:pt>
                <c:pt idx="59">
                  <c:v>2.2</c:v>
                </c:pt>
                <c:pt idx="60">
                  <c:v>2.6</c:v>
                </c:pt>
                <c:pt idx="61">
                  <c:v>2.2</c:v>
                </c:pt>
                <c:pt idx="62">
                  <c:v>2.6</c:v>
                </c:pt>
                <c:pt idx="63">
                  <c:v>2.7</c:v>
                </c:pt>
                <c:pt idx="64">
                  <c:v>2.6</c:v>
                </c:pt>
                <c:pt idx="65">
                  <c:v>2</c:v>
                </c:pt>
                <c:pt idx="66">
                  <c:v>2.4</c:v>
                </c:pt>
                <c:pt idx="67">
                  <c:v>2.3</c:v>
                </c:pt>
                <c:pt idx="68">
                  <c:v>2.4</c:v>
                </c:pt>
                <c:pt idx="69">
                  <c:v>2.4</c:v>
                </c:pt>
                <c:pt idx="70">
                  <c:v>2.8</c:v>
                </c:pt>
                <c:pt idx="71">
                  <c:v>2.5</c:v>
                </c:pt>
                <c:pt idx="72">
                  <c:v>2.5</c:v>
                </c:pt>
                <c:pt idx="73">
                  <c:v>2</c:v>
                </c:pt>
                <c:pt idx="74">
                  <c:v>2.4</c:v>
                </c:pt>
                <c:pt idx="75">
                  <c:v>2.9</c:v>
                </c:pt>
                <c:pt idx="76">
                  <c:v>2.3</c:v>
                </c:pt>
                <c:pt idx="77">
                  <c:v>3.5</c:v>
                </c:pt>
                <c:pt idx="78">
                  <c:v>3.3</c:v>
                </c:pt>
                <c:pt idx="79">
                  <c:v>1.8</c:v>
                </c:pt>
                <c:pt idx="80">
                  <c:v>2.3</c:v>
                </c:pt>
                <c:pt idx="81">
                  <c:v>3.1</c:v>
                </c:pt>
                <c:pt idx="82">
                  <c:v>1.8</c:v>
                </c:pt>
                <c:pt idx="83">
                  <c:v>2.8</c:v>
                </c:pt>
                <c:pt idx="84">
                  <c:v>3.2</c:v>
                </c:pt>
                <c:pt idx="85">
                  <c:v>2.4</c:v>
                </c:pt>
                <c:pt idx="86">
                  <c:v>2.3</c:v>
                </c:pt>
                <c:pt idx="87">
                  <c:v>2.3</c:v>
                </c:pt>
                <c:pt idx="88">
                  <c:v>2.6</c:v>
                </c:pt>
                <c:pt idx="89">
                  <c:v>2.1</c:v>
                </c:pt>
                <c:pt idx="90">
                  <c:v>2.5</c:v>
                </c:pt>
                <c:pt idx="91">
                  <c:v>2.2</c:v>
                </c:pt>
                <c:pt idx="92">
                  <c:v>2.5</c:v>
                </c:pt>
                <c:pt idx="93">
                  <c:v>2</c:v>
                </c:pt>
                <c:pt idx="94">
                  <c:v>2.4</c:v>
                </c:pt>
                <c:pt idx="95">
                  <c:v>3.3</c:v>
                </c:pt>
                <c:pt idx="96">
                  <c:v>1.9</c:v>
                </c:pt>
                <c:pt idx="97">
                  <c:v>2.7</c:v>
                </c:pt>
                <c:pt idx="98">
                  <c:v>2.4</c:v>
                </c:pt>
                <c:pt idx="99">
                  <c:v>2.5</c:v>
                </c:pt>
                <c:pt idx="100">
                  <c:v>2.1</c:v>
                </c:pt>
                <c:pt idx="101">
                  <c:v>2.7</c:v>
                </c:pt>
                <c:pt idx="102">
                  <c:v>2.7</c:v>
                </c:pt>
                <c:pt idx="103">
                  <c:v>2.1</c:v>
                </c:pt>
                <c:pt idx="104">
                  <c:v>1.8</c:v>
                </c:pt>
                <c:pt idx="105">
                  <c:v>3</c:v>
                </c:pt>
                <c:pt idx="106">
                  <c:v>2.7</c:v>
                </c:pt>
                <c:pt idx="107">
                  <c:v>2</c:v>
                </c:pt>
                <c:pt idx="108">
                  <c:v>2.6</c:v>
                </c:pt>
                <c:pt idx="109">
                  <c:v>3</c:v>
                </c:pt>
                <c:pt idx="110">
                  <c:v>1.9</c:v>
                </c:pt>
                <c:pt idx="111">
                  <c:v>2.4</c:v>
                </c:pt>
                <c:pt idx="112">
                  <c:v>2.8</c:v>
                </c:pt>
                <c:pt idx="113">
                  <c:v>2.8</c:v>
                </c:pt>
                <c:pt idx="114">
                  <c:v>1.9</c:v>
                </c:pt>
                <c:pt idx="115">
                  <c:v>2.8</c:v>
                </c:pt>
                <c:pt idx="116">
                  <c:v>1.7</c:v>
                </c:pt>
                <c:pt idx="117">
                  <c:v>2.1</c:v>
                </c:pt>
                <c:pt idx="118">
                  <c:v>2.5</c:v>
                </c:pt>
                <c:pt idx="119">
                  <c:v>3.5</c:v>
                </c:pt>
                <c:pt idx="120">
                  <c:v>3.8</c:v>
                </c:pt>
                <c:pt idx="121">
                  <c:v>2.3</c:v>
                </c:pt>
                <c:pt idx="122">
                  <c:v>3.3</c:v>
                </c:pt>
                <c:pt idx="123">
                  <c:v>2.7</c:v>
                </c:pt>
                <c:pt idx="124">
                  <c:v>2.8</c:v>
                </c:pt>
                <c:pt idx="125">
                  <c:v>1.9</c:v>
                </c:pt>
                <c:pt idx="126">
                  <c:v>2.4</c:v>
                </c:pt>
                <c:pt idx="127">
                  <c:v>2.9</c:v>
                </c:pt>
                <c:pt idx="128">
                  <c:v>1.8</c:v>
                </c:pt>
                <c:pt idx="129">
                  <c:v>2.3</c:v>
                </c:pt>
                <c:pt idx="130">
                  <c:v>2.4</c:v>
                </c:pt>
                <c:pt idx="131">
                  <c:v>2.5</c:v>
                </c:pt>
                <c:pt idx="132">
                  <c:v>2.6</c:v>
                </c:pt>
                <c:pt idx="133">
                  <c:v>2.7</c:v>
                </c:pt>
                <c:pt idx="134">
                  <c:v>2.1</c:v>
                </c:pt>
                <c:pt idx="135">
                  <c:v>2.7</c:v>
                </c:pt>
                <c:pt idx="136">
                  <c:v>2.2</c:v>
                </c:pt>
                <c:pt idx="137">
                  <c:v>2.8</c:v>
                </c:pt>
                <c:pt idx="138">
                  <c:v>2.3</c:v>
                </c:pt>
                <c:pt idx="139">
                  <c:v>2.7</c:v>
                </c:pt>
                <c:pt idx="140">
                  <c:v>2.8</c:v>
                </c:pt>
                <c:pt idx="141">
                  <c:v>2.4</c:v>
                </c:pt>
                <c:pt idx="142">
                  <c:v>2.2</c:v>
                </c:pt>
                <c:pt idx="143">
                  <c:v>2.3</c:v>
                </c:pt>
                <c:pt idx="144">
                  <c:v>2.7</c:v>
                </c:pt>
                <c:pt idx="145">
                  <c:v>1.9</c:v>
                </c:pt>
                <c:pt idx="146">
                  <c:v>2.2</c:v>
                </c:pt>
                <c:pt idx="147">
                  <c:v>3.2</c:v>
                </c:pt>
                <c:pt idx="148">
                  <c:v>2.6</c:v>
                </c:pt>
                <c:pt idx="149">
                  <c:v>2.4</c:v>
                </c:pt>
                <c:pt idx="150">
                  <c:v>2.6</c:v>
                </c:pt>
                <c:pt idx="151">
                  <c:v>2.3</c:v>
                </c:pt>
                <c:pt idx="152">
                  <c:v>2.4</c:v>
                </c:pt>
                <c:pt idx="153">
                  <c:v>2.5</c:v>
                </c:pt>
                <c:pt idx="154">
                  <c:v>2.5</c:v>
                </c:pt>
                <c:pt idx="155">
                  <c:v>2.4</c:v>
                </c:pt>
                <c:pt idx="156">
                  <c:v>2.8</c:v>
                </c:pt>
                <c:pt idx="157">
                  <c:v>2.8</c:v>
                </c:pt>
                <c:pt idx="158">
                  <c:v>2.1</c:v>
                </c:pt>
                <c:pt idx="159">
                  <c:v>2.5</c:v>
                </c:pt>
                <c:pt idx="160">
                  <c:v>2.7</c:v>
                </c:pt>
                <c:pt idx="161">
                  <c:v>2.1</c:v>
                </c:pt>
                <c:pt idx="162">
                  <c:v>1.9</c:v>
                </c:pt>
                <c:pt idx="163">
                  <c:v>3.1</c:v>
                </c:pt>
                <c:pt idx="164">
                  <c:v>2.1</c:v>
                </c:pt>
                <c:pt idx="165">
                  <c:v>2.5</c:v>
                </c:pt>
                <c:pt idx="166">
                  <c:v>2.3</c:v>
                </c:pt>
                <c:pt idx="167">
                  <c:v>3.1</c:v>
                </c:pt>
                <c:pt idx="168">
                  <c:v>2.1</c:v>
                </c:pt>
                <c:pt idx="169">
                  <c:v>3.1</c:v>
                </c:pt>
                <c:pt idx="170">
                  <c:v>3.3</c:v>
                </c:pt>
                <c:pt idx="171">
                  <c:v>2.3</c:v>
                </c:pt>
                <c:pt idx="172">
                  <c:v>3</c:v>
                </c:pt>
                <c:pt idx="173">
                  <c:v>2.6</c:v>
                </c:pt>
                <c:pt idx="174">
                  <c:v>2.6</c:v>
                </c:pt>
                <c:pt idx="175">
                  <c:v>1.7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675640"/>
        <c:axId val="57861496"/>
      </c:lineChart>
      <c:catAx>
        <c:axId val="466756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861496"/>
        <c:crosses val="autoZero"/>
        <c:auto val="1"/>
        <c:lblAlgn val="ctr"/>
        <c:lblOffset val="100"/>
        <c:noMultiLvlLbl val="0"/>
      </c:catAx>
      <c:valAx>
        <c:axId val="578614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67564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L-10a: VU и RPS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ряды'!B695</c:f>
              <c:strCache>
                <c:ptCount val="1"/>
                <c:pt idx="0">
                  <c:v>VU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ряды'!$A$696:$A$730</c:f>
              <c:strCache>
                <c:ptCount val="3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</c:strCache>
            </c:strRef>
          </c:cat>
          <c:val>
            <c:numRef>
              <c:f>'Временные ряды'!$B$696:$B$730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ряды'!C695</c:f>
              <c:strCache>
                <c:ptCount val="1"/>
                <c:pt idx="0">
                  <c:v>RPS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ряды'!$A$696:$A$730</c:f>
              <c:strCache>
                <c:ptCount val="3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</c:strCache>
            </c:strRef>
          </c:cat>
          <c:val>
            <c:numRef>
              <c:f>'Временные ряды'!$C$696:$C$730</c:f>
              <c:numCache>
                <c:formatCode>General</c:formatCode>
                <c:ptCount val="35"/>
                <c:pt idx="0">
                  <c:v>37.2</c:v>
                </c:pt>
                <c:pt idx="1">
                  <c:v>48.8</c:v>
                </c:pt>
                <c:pt idx="2">
                  <c:v>48</c:v>
                </c:pt>
                <c:pt idx="3">
                  <c:v>65.4</c:v>
                </c:pt>
                <c:pt idx="4">
                  <c:v>49.2</c:v>
                </c:pt>
                <c:pt idx="5">
                  <c:v>50</c:v>
                </c:pt>
                <c:pt idx="6">
                  <c:v>48.4</c:v>
                </c:pt>
                <c:pt idx="7">
                  <c:v>50.2</c:v>
                </c:pt>
                <c:pt idx="8">
                  <c:v>48.6</c:v>
                </c:pt>
                <c:pt idx="9">
                  <c:v>61.8</c:v>
                </c:pt>
                <c:pt idx="10">
                  <c:v>50.2</c:v>
                </c:pt>
                <c:pt idx="11">
                  <c:v>48.6</c:v>
                </c:pt>
                <c:pt idx="12">
                  <c:v>48.8</c:v>
                </c:pt>
                <c:pt idx="13">
                  <c:v>50.4</c:v>
                </c:pt>
                <c:pt idx="14">
                  <c:v>49.4</c:v>
                </c:pt>
                <c:pt idx="15">
                  <c:v>62.2</c:v>
                </c:pt>
                <c:pt idx="16">
                  <c:v>50.8</c:v>
                </c:pt>
                <c:pt idx="17">
                  <c:v>49.4</c:v>
                </c:pt>
                <c:pt idx="18">
                  <c:v>49.4</c:v>
                </c:pt>
                <c:pt idx="19">
                  <c:v>47.8</c:v>
                </c:pt>
                <c:pt idx="20">
                  <c:v>47.6</c:v>
                </c:pt>
                <c:pt idx="21">
                  <c:v>58</c:v>
                </c:pt>
                <c:pt idx="22">
                  <c:v>52.6</c:v>
                </c:pt>
                <c:pt idx="23">
                  <c:v>47.8</c:v>
                </c:pt>
                <c:pt idx="24">
                  <c:v>50.4</c:v>
                </c:pt>
                <c:pt idx="25">
                  <c:v>48</c:v>
                </c:pt>
                <c:pt idx="26">
                  <c:v>50</c:v>
                </c:pt>
                <c:pt idx="27">
                  <c:v>48</c:v>
                </c:pt>
                <c:pt idx="28">
                  <c:v>65.8</c:v>
                </c:pt>
                <c:pt idx="29">
                  <c:v>49.4</c:v>
                </c:pt>
                <c:pt idx="30">
                  <c:v>49.6</c:v>
                </c:pt>
                <c:pt idx="31">
                  <c:v>47.8</c:v>
                </c:pt>
                <c:pt idx="32">
                  <c:v>48</c:v>
                </c:pt>
                <c:pt idx="33">
                  <c:v>48</c:v>
                </c:pt>
                <c:pt idx="34">
                  <c:v>43.4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647997"/>
        <c:axId val="89162825"/>
      </c:lineChart>
      <c:catAx>
        <c:axId val="966479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162825"/>
        <c:crosses val="autoZero"/>
        <c:auto val="1"/>
        <c:lblAlgn val="ctr"/>
        <c:lblOffset val="100"/>
        <c:noMultiLvlLbl val="0"/>
      </c:catAx>
      <c:valAx>
        <c:axId val="891628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64799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L-10a: время отклика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ряды'!D695</c:f>
              <c:strCache>
                <c:ptCount val="1"/>
                <c:pt idx="0">
                  <c:v>p95, мс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ряды'!$A$696:$A$730</c:f>
              <c:strCache>
                <c:ptCount val="3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</c:strCache>
            </c:strRef>
          </c:cat>
          <c:val>
            <c:numRef>
              <c:f>'Временные ряды'!$D$696:$D$730</c:f>
              <c:numCache>
                <c:formatCode>General</c:formatCode>
                <c:ptCount val="35"/>
                <c:pt idx="0">
                  <c:v>9.4</c:v>
                </c:pt>
                <c:pt idx="1">
                  <c:v>9.2</c:v>
                </c:pt>
                <c:pt idx="2">
                  <c:v>9</c:v>
                </c:pt>
                <c:pt idx="3">
                  <c:v>9.3</c:v>
                </c:pt>
                <c:pt idx="4">
                  <c:v>8.7</c:v>
                </c:pt>
                <c:pt idx="5">
                  <c:v>9.2</c:v>
                </c:pt>
                <c:pt idx="6">
                  <c:v>8.9</c:v>
                </c:pt>
                <c:pt idx="7">
                  <c:v>8.6</c:v>
                </c:pt>
                <c:pt idx="8">
                  <c:v>9.2</c:v>
                </c:pt>
                <c:pt idx="9">
                  <c:v>9</c:v>
                </c:pt>
                <c:pt idx="10">
                  <c:v>8.8</c:v>
                </c:pt>
                <c:pt idx="11">
                  <c:v>9.3</c:v>
                </c:pt>
                <c:pt idx="12">
                  <c:v>8.8</c:v>
                </c:pt>
                <c:pt idx="13">
                  <c:v>9.8</c:v>
                </c:pt>
                <c:pt idx="14">
                  <c:v>9.7</c:v>
                </c:pt>
                <c:pt idx="15">
                  <c:v>8.8</c:v>
                </c:pt>
                <c:pt idx="16">
                  <c:v>9.5</c:v>
                </c:pt>
                <c:pt idx="17">
                  <c:v>9.4</c:v>
                </c:pt>
                <c:pt idx="18">
                  <c:v>9.2</c:v>
                </c:pt>
                <c:pt idx="19">
                  <c:v>9.5</c:v>
                </c:pt>
                <c:pt idx="20">
                  <c:v>8.9</c:v>
                </c:pt>
                <c:pt idx="21">
                  <c:v>9.6</c:v>
                </c:pt>
                <c:pt idx="22">
                  <c:v>9.4</c:v>
                </c:pt>
                <c:pt idx="23">
                  <c:v>9.2</c:v>
                </c:pt>
                <c:pt idx="24">
                  <c:v>9.1</c:v>
                </c:pt>
                <c:pt idx="25">
                  <c:v>9.2</c:v>
                </c:pt>
                <c:pt idx="26">
                  <c:v>8.6</c:v>
                </c:pt>
                <c:pt idx="27">
                  <c:v>9.2</c:v>
                </c:pt>
                <c:pt idx="28">
                  <c:v>8.6</c:v>
                </c:pt>
                <c:pt idx="29">
                  <c:v>9.1</c:v>
                </c:pt>
                <c:pt idx="30">
                  <c:v>9.2</c:v>
                </c:pt>
                <c:pt idx="31">
                  <c:v>9.3</c:v>
                </c:pt>
                <c:pt idx="32">
                  <c:v>9.3</c:v>
                </c:pt>
                <c:pt idx="33">
                  <c:v>8.7</c:v>
                </c:pt>
                <c:pt idx="34">
                  <c:v>9.5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ряды'!E695</c:f>
              <c:strCache>
                <c:ptCount val="1"/>
                <c:pt idx="0">
                  <c:v>Avg, мс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ряды'!$A$696:$A$730</c:f>
              <c:strCache>
                <c:ptCount val="3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</c:strCache>
            </c:strRef>
          </c:cat>
          <c:val>
            <c:numRef>
              <c:f>'Временные ряды'!$E$696:$E$730</c:f>
              <c:numCache>
                <c:formatCode>General</c:formatCode>
                <c:ptCount val="35"/>
                <c:pt idx="0">
                  <c:v>4.2</c:v>
                </c:pt>
                <c:pt idx="1">
                  <c:v>4.4</c:v>
                </c:pt>
                <c:pt idx="2">
                  <c:v>4.3</c:v>
                </c:pt>
                <c:pt idx="3">
                  <c:v>4.3</c:v>
                </c:pt>
                <c:pt idx="4">
                  <c:v>4</c:v>
                </c:pt>
                <c:pt idx="5">
                  <c:v>4.1</c:v>
                </c:pt>
                <c:pt idx="6">
                  <c:v>4.1</c:v>
                </c:pt>
                <c:pt idx="7">
                  <c:v>4.4</c:v>
                </c:pt>
                <c:pt idx="8">
                  <c:v>4.1</c:v>
                </c:pt>
                <c:pt idx="9">
                  <c:v>4.1</c:v>
                </c:pt>
                <c:pt idx="10">
                  <c:v>4</c:v>
                </c:pt>
                <c:pt idx="11">
                  <c:v>4.4</c:v>
                </c:pt>
                <c:pt idx="12">
                  <c:v>4.1</c:v>
                </c:pt>
                <c:pt idx="13">
                  <c:v>4.6</c:v>
                </c:pt>
                <c:pt idx="14">
                  <c:v>4.3</c:v>
                </c:pt>
                <c:pt idx="15">
                  <c:v>4.2</c:v>
                </c:pt>
                <c:pt idx="16">
                  <c:v>4.4</c:v>
                </c:pt>
                <c:pt idx="17">
                  <c:v>4.5</c:v>
                </c:pt>
                <c:pt idx="18">
                  <c:v>4.2</c:v>
                </c:pt>
                <c:pt idx="19">
                  <c:v>4.2</c:v>
                </c:pt>
                <c:pt idx="20">
                  <c:v>4.1</c:v>
                </c:pt>
                <c:pt idx="21">
                  <c:v>4.4</c:v>
                </c:pt>
                <c:pt idx="22">
                  <c:v>4.5</c:v>
                </c:pt>
                <c:pt idx="23">
                  <c:v>4.4</c:v>
                </c:pt>
                <c:pt idx="24">
                  <c:v>4.4</c:v>
                </c:pt>
                <c:pt idx="25">
                  <c:v>4.2</c:v>
                </c:pt>
                <c:pt idx="26">
                  <c:v>3.9</c:v>
                </c:pt>
                <c:pt idx="27">
                  <c:v>4.1</c:v>
                </c:pt>
                <c:pt idx="28">
                  <c:v>3.9</c:v>
                </c:pt>
                <c:pt idx="29">
                  <c:v>4.1</c:v>
                </c:pt>
                <c:pt idx="30">
                  <c:v>4.1</c:v>
                </c:pt>
                <c:pt idx="31">
                  <c:v>4.3</c:v>
                </c:pt>
                <c:pt idx="32">
                  <c:v>4.5</c:v>
                </c:pt>
                <c:pt idx="33">
                  <c:v>4.1</c:v>
                </c:pt>
                <c:pt idx="34">
                  <c:v>4.4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426020"/>
        <c:axId val="39141135"/>
      </c:lineChart>
      <c:catAx>
        <c:axId val="604260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141135"/>
        <c:crosses val="autoZero"/>
        <c:auto val="1"/>
        <c:lblAlgn val="ctr"/>
        <c:lblOffset val="100"/>
        <c:noMultiLvlLbl val="0"/>
      </c:catAx>
      <c:valAx>
        <c:axId val="391411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4260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L-10a: CPU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ряды'!G695</c:f>
              <c:strCache>
                <c:ptCount val="1"/>
                <c:pt idx="0">
                  <c:v>CPU java, %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ряды'!$A$696:$A$730</c:f>
              <c:strCache>
                <c:ptCount val="3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</c:strCache>
            </c:strRef>
          </c:cat>
          <c:val>
            <c:numRef>
              <c:f>'Временные ряды'!$G$696:$G$730</c:f>
              <c:numCache>
                <c:formatCode>General</c:formatCode>
                <c:ptCount val="35"/>
                <c:pt idx="0">
                  <c:v>10.5</c:v>
                </c:pt>
                <c:pt idx="1">
                  <c:v>9.9</c:v>
                </c:pt>
                <c:pt idx="2">
                  <c:v>9.7</c:v>
                </c:pt>
                <c:pt idx="3">
                  <c:v>5</c:v>
                </c:pt>
                <c:pt idx="4">
                  <c:v>9.1</c:v>
                </c:pt>
                <c:pt idx="5">
                  <c:v>9.1</c:v>
                </c:pt>
                <c:pt idx="6">
                  <c:v>8.9</c:v>
                </c:pt>
                <c:pt idx="7">
                  <c:v>10.1</c:v>
                </c:pt>
                <c:pt idx="8">
                  <c:v>8.9</c:v>
                </c:pt>
                <c:pt idx="9">
                  <c:v>3.8</c:v>
                </c:pt>
                <c:pt idx="10">
                  <c:v>9.1</c:v>
                </c:pt>
                <c:pt idx="11">
                  <c:v>9.8</c:v>
                </c:pt>
                <c:pt idx="12">
                  <c:v>9.4</c:v>
                </c:pt>
                <c:pt idx="13">
                  <c:v>10.3</c:v>
                </c:pt>
                <c:pt idx="14">
                  <c:v>9.7</c:v>
                </c:pt>
                <c:pt idx="15">
                  <c:v>4.1</c:v>
                </c:pt>
                <c:pt idx="16">
                  <c:v>9.7</c:v>
                </c:pt>
                <c:pt idx="17">
                  <c:v>10.3</c:v>
                </c:pt>
                <c:pt idx="18">
                  <c:v>9.3</c:v>
                </c:pt>
                <c:pt idx="19">
                  <c:v>9.1</c:v>
                </c:pt>
                <c:pt idx="20">
                  <c:v>9.4</c:v>
                </c:pt>
                <c:pt idx="21">
                  <c:v>4.1</c:v>
                </c:pt>
                <c:pt idx="22">
                  <c:v>9.7</c:v>
                </c:pt>
                <c:pt idx="23">
                  <c:v>9.3</c:v>
                </c:pt>
                <c:pt idx="24">
                  <c:v>9.9</c:v>
                </c:pt>
                <c:pt idx="25">
                  <c:v>9.4</c:v>
                </c:pt>
                <c:pt idx="26">
                  <c:v>9.1</c:v>
                </c:pt>
                <c:pt idx="27">
                  <c:v>2</c:v>
                </c:pt>
                <c:pt idx="28">
                  <c:v>9.2</c:v>
                </c:pt>
                <c:pt idx="29">
                  <c:v>9.1</c:v>
                </c:pt>
                <c:pt idx="30">
                  <c:v>9.5</c:v>
                </c:pt>
                <c:pt idx="31">
                  <c:v>9.4</c:v>
                </c:pt>
                <c:pt idx="32">
                  <c:v>9.3</c:v>
                </c:pt>
                <c:pt idx="33">
                  <c:v>9.1</c:v>
                </c:pt>
                <c:pt idx="34">
                  <c:v>-2.1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ряды'!H695</c:f>
              <c:strCache>
                <c:ptCount val="1"/>
                <c:pt idx="0">
                  <c:v>CPU mysqld, %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ряды'!$A$696:$A$730</c:f>
              <c:strCache>
                <c:ptCount val="3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</c:strCache>
            </c:strRef>
          </c:cat>
          <c:val>
            <c:numRef>
              <c:f>'Временные ряды'!$H$696:$H$730</c:f>
              <c:numCache>
                <c:formatCode>General</c:formatCode>
                <c:ptCount val="35"/>
                <c:pt idx="0">
                  <c:v>11.1</c:v>
                </c:pt>
                <c:pt idx="1">
                  <c:v>11.7</c:v>
                </c:pt>
                <c:pt idx="2">
                  <c:v>11.9</c:v>
                </c:pt>
                <c:pt idx="3">
                  <c:v>5.8</c:v>
                </c:pt>
                <c:pt idx="4">
                  <c:v>10.7</c:v>
                </c:pt>
                <c:pt idx="5">
                  <c:v>11.3</c:v>
                </c:pt>
                <c:pt idx="6">
                  <c:v>10.7</c:v>
                </c:pt>
                <c:pt idx="7">
                  <c:v>12.5</c:v>
                </c:pt>
                <c:pt idx="8">
                  <c:v>10.4</c:v>
                </c:pt>
                <c:pt idx="9">
                  <c:v>4.6</c:v>
                </c:pt>
                <c:pt idx="10">
                  <c:v>10.9</c:v>
                </c:pt>
                <c:pt idx="11">
                  <c:v>12</c:v>
                </c:pt>
                <c:pt idx="12">
                  <c:v>11</c:v>
                </c:pt>
                <c:pt idx="13">
                  <c:v>12.6</c:v>
                </c:pt>
                <c:pt idx="14">
                  <c:v>11.1</c:v>
                </c:pt>
                <c:pt idx="15">
                  <c:v>5.7</c:v>
                </c:pt>
                <c:pt idx="16">
                  <c:v>11.7</c:v>
                </c:pt>
                <c:pt idx="17">
                  <c:v>12.5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3.1</c:v>
                </c:pt>
                <c:pt idx="22">
                  <c:v>11.7</c:v>
                </c:pt>
                <c:pt idx="23">
                  <c:v>11.7</c:v>
                </c:pt>
                <c:pt idx="24">
                  <c:v>11.7</c:v>
                </c:pt>
                <c:pt idx="25">
                  <c:v>11.2</c:v>
                </c:pt>
                <c:pt idx="26">
                  <c:v>10.5</c:v>
                </c:pt>
                <c:pt idx="27">
                  <c:v>2.9</c:v>
                </c:pt>
                <c:pt idx="28">
                  <c:v>11</c:v>
                </c:pt>
                <c:pt idx="29">
                  <c:v>10.7</c:v>
                </c:pt>
                <c:pt idx="30">
                  <c:v>11.3</c:v>
                </c:pt>
                <c:pt idx="31">
                  <c:v>11.2</c:v>
                </c:pt>
                <c:pt idx="32">
                  <c:v>11.5</c:v>
                </c:pt>
                <c:pt idx="33">
                  <c:v>11.1</c:v>
                </c:pt>
                <c:pt idx="34">
                  <c:v>-2.1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'Временные ряды'!I695</c:f>
              <c:strCache>
                <c:ptCount val="1"/>
                <c:pt idx="0">
                  <c:v>CPU машины, 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ряды'!$A$696:$A$730</c:f>
              <c:strCache>
                <c:ptCount val="3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</c:strCache>
            </c:strRef>
          </c:cat>
          <c:val>
            <c:numRef>
              <c:f>'Временные ряды'!$I$696:$I$730</c:f>
              <c:numCache>
                <c:formatCode>General</c:formatCode>
                <c:ptCount val="35"/>
                <c:pt idx="0">
                  <c:v>2.2</c:v>
                </c:pt>
                <c:pt idx="1">
                  <c:v>1.9</c:v>
                </c:pt>
                <c:pt idx="2">
                  <c:v>2</c:v>
                </c:pt>
                <c:pt idx="3">
                  <c:v>1.8</c:v>
                </c:pt>
                <c:pt idx="4">
                  <c:v>1.7</c:v>
                </c:pt>
                <c:pt idx="5">
                  <c:v>1.8</c:v>
                </c:pt>
                <c:pt idx="6">
                  <c:v>1.6</c:v>
                </c:pt>
                <c:pt idx="7">
                  <c:v>1.8</c:v>
                </c:pt>
                <c:pt idx="8">
                  <c:v>1.5</c:v>
                </c:pt>
                <c:pt idx="9">
                  <c:v>1.7</c:v>
                </c:pt>
                <c:pt idx="10">
                  <c:v>1.7</c:v>
                </c:pt>
                <c:pt idx="11">
                  <c:v>1.8</c:v>
                </c:pt>
                <c:pt idx="12">
                  <c:v>1.8</c:v>
                </c:pt>
                <c:pt idx="13">
                  <c:v>1.9</c:v>
                </c:pt>
                <c:pt idx="14">
                  <c:v>1.8</c:v>
                </c:pt>
                <c:pt idx="15">
                  <c:v>1.9</c:v>
                </c:pt>
                <c:pt idx="16">
                  <c:v>1.9</c:v>
                </c:pt>
                <c:pt idx="17">
                  <c:v>1.9</c:v>
                </c:pt>
                <c:pt idx="18">
                  <c:v>1.7</c:v>
                </c:pt>
                <c:pt idx="19">
                  <c:v>1.7</c:v>
                </c:pt>
                <c:pt idx="20">
                  <c:v>1.8</c:v>
                </c:pt>
                <c:pt idx="21">
                  <c:v>1.8</c:v>
                </c:pt>
                <c:pt idx="22">
                  <c:v>1.7</c:v>
                </c:pt>
                <c:pt idx="23">
                  <c:v>1.7</c:v>
                </c:pt>
                <c:pt idx="24">
                  <c:v>1.7</c:v>
                </c:pt>
                <c:pt idx="25">
                  <c:v>2</c:v>
                </c:pt>
                <c:pt idx="26">
                  <c:v>1.9</c:v>
                </c:pt>
                <c:pt idx="27">
                  <c:v>1.7</c:v>
                </c:pt>
                <c:pt idx="28">
                  <c:v>1.8</c:v>
                </c:pt>
                <c:pt idx="29">
                  <c:v>1.7</c:v>
                </c:pt>
                <c:pt idx="30">
                  <c:v>1.6</c:v>
                </c:pt>
                <c:pt idx="31">
                  <c:v>1.9</c:v>
                </c:pt>
                <c:pt idx="32">
                  <c:v>1.7</c:v>
                </c:pt>
                <c:pt idx="33">
                  <c:v>1.7</c:v>
                </c:pt>
                <c:pt idx="34">
                  <c:v>1.6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154519"/>
        <c:axId val="50952433"/>
      </c:lineChart>
      <c:catAx>
        <c:axId val="411545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952433"/>
        <c:crosses val="autoZero"/>
        <c:auto val="1"/>
        <c:lblAlgn val="ctr"/>
        <c:lblOffset val="100"/>
        <c:noMultiLvlLbl val="0"/>
      </c:catAx>
      <c:valAx>
        <c:axId val="509524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15451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L-10b: VU и RPS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ряды'!B734</c:f>
              <c:strCache>
                <c:ptCount val="1"/>
                <c:pt idx="0">
                  <c:v>VU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ряды'!$A$735:$A$769</c:f>
              <c:strCache>
                <c:ptCount val="3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</c:strCache>
            </c:strRef>
          </c:cat>
          <c:val>
            <c:numRef>
              <c:f>'Временные ряды'!$B$735:$B$769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ряды'!C734</c:f>
              <c:strCache>
                <c:ptCount val="1"/>
                <c:pt idx="0">
                  <c:v>RPS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ряды'!$A$735:$A$769</c:f>
              <c:strCache>
                <c:ptCount val="3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</c:strCache>
            </c:strRef>
          </c:cat>
          <c:val>
            <c:numRef>
              <c:f>'Временные ряды'!$C$735:$C$769</c:f>
              <c:numCache>
                <c:formatCode>General</c:formatCode>
                <c:ptCount val="35"/>
                <c:pt idx="0">
                  <c:v>45.8</c:v>
                </c:pt>
                <c:pt idx="1">
                  <c:v>49.2</c:v>
                </c:pt>
                <c:pt idx="2">
                  <c:v>46.8</c:v>
                </c:pt>
                <c:pt idx="3">
                  <c:v>60.6</c:v>
                </c:pt>
                <c:pt idx="4">
                  <c:v>49.2</c:v>
                </c:pt>
                <c:pt idx="5">
                  <c:v>50</c:v>
                </c:pt>
                <c:pt idx="6">
                  <c:v>47.4</c:v>
                </c:pt>
                <c:pt idx="7">
                  <c:v>48.6</c:v>
                </c:pt>
                <c:pt idx="8">
                  <c:v>48.4</c:v>
                </c:pt>
                <c:pt idx="9">
                  <c:v>54.4</c:v>
                </c:pt>
                <c:pt idx="10">
                  <c:v>57.6</c:v>
                </c:pt>
                <c:pt idx="11">
                  <c:v>46.8</c:v>
                </c:pt>
                <c:pt idx="12">
                  <c:v>48.4</c:v>
                </c:pt>
                <c:pt idx="13">
                  <c:v>48.8</c:v>
                </c:pt>
                <c:pt idx="14">
                  <c:v>48.6</c:v>
                </c:pt>
                <c:pt idx="15">
                  <c:v>51</c:v>
                </c:pt>
                <c:pt idx="16">
                  <c:v>63.8</c:v>
                </c:pt>
                <c:pt idx="17">
                  <c:v>47.6</c:v>
                </c:pt>
                <c:pt idx="18">
                  <c:v>47.6</c:v>
                </c:pt>
                <c:pt idx="19">
                  <c:v>51</c:v>
                </c:pt>
                <c:pt idx="20">
                  <c:v>49.6</c:v>
                </c:pt>
                <c:pt idx="21">
                  <c:v>48.6</c:v>
                </c:pt>
                <c:pt idx="22">
                  <c:v>61.6</c:v>
                </c:pt>
                <c:pt idx="23">
                  <c:v>50.4</c:v>
                </c:pt>
                <c:pt idx="24">
                  <c:v>49</c:v>
                </c:pt>
                <c:pt idx="25">
                  <c:v>48</c:v>
                </c:pt>
                <c:pt idx="26">
                  <c:v>49.4</c:v>
                </c:pt>
                <c:pt idx="27">
                  <c:v>50.4</c:v>
                </c:pt>
                <c:pt idx="28">
                  <c:v>64.2</c:v>
                </c:pt>
                <c:pt idx="29">
                  <c:v>49</c:v>
                </c:pt>
                <c:pt idx="30">
                  <c:v>49.6</c:v>
                </c:pt>
                <c:pt idx="31">
                  <c:v>48.6</c:v>
                </c:pt>
                <c:pt idx="32">
                  <c:v>48.6</c:v>
                </c:pt>
                <c:pt idx="33">
                  <c:v>50.4</c:v>
                </c:pt>
                <c:pt idx="34">
                  <c:v>34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6422123"/>
        <c:axId val="70039238"/>
      </c:lineChart>
      <c:catAx>
        <c:axId val="364221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039238"/>
        <c:crosses val="autoZero"/>
        <c:auto val="1"/>
        <c:lblAlgn val="ctr"/>
        <c:lblOffset val="100"/>
        <c:noMultiLvlLbl val="0"/>
      </c:catAx>
      <c:valAx>
        <c:axId val="700392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42212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L-10b: время отклика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ряды'!D734</c:f>
              <c:strCache>
                <c:ptCount val="1"/>
                <c:pt idx="0">
                  <c:v>p95, мс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ряды'!$A$735:$A$769</c:f>
              <c:strCache>
                <c:ptCount val="3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</c:strCache>
            </c:strRef>
          </c:cat>
          <c:val>
            <c:numRef>
              <c:f>'Временные ряды'!$D$735:$D$769</c:f>
              <c:numCache>
                <c:formatCode>General</c:formatCode>
                <c:ptCount val="35"/>
                <c:pt idx="0">
                  <c:v>27.7</c:v>
                </c:pt>
                <c:pt idx="1">
                  <c:v>26</c:v>
                </c:pt>
                <c:pt idx="2">
                  <c:v>28.8</c:v>
                </c:pt>
                <c:pt idx="3">
                  <c:v>27</c:v>
                </c:pt>
                <c:pt idx="4">
                  <c:v>28.3</c:v>
                </c:pt>
                <c:pt idx="5">
                  <c:v>26.9</c:v>
                </c:pt>
                <c:pt idx="6">
                  <c:v>27.4</c:v>
                </c:pt>
                <c:pt idx="7">
                  <c:v>29.6</c:v>
                </c:pt>
                <c:pt idx="8">
                  <c:v>27.8</c:v>
                </c:pt>
                <c:pt idx="9">
                  <c:v>27.5</c:v>
                </c:pt>
                <c:pt idx="10">
                  <c:v>27.5</c:v>
                </c:pt>
                <c:pt idx="11">
                  <c:v>26.9</c:v>
                </c:pt>
                <c:pt idx="12">
                  <c:v>28.3</c:v>
                </c:pt>
                <c:pt idx="13">
                  <c:v>27.2</c:v>
                </c:pt>
                <c:pt idx="14">
                  <c:v>27.7</c:v>
                </c:pt>
                <c:pt idx="15">
                  <c:v>27</c:v>
                </c:pt>
                <c:pt idx="16">
                  <c:v>27.2</c:v>
                </c:pt>
                <c:pt idx="17">
                  <c:v>28.6</c:v>
                </c:pt>
                <c:pt idx="18">
                  <c:v>27.7</c:v>
                </c:pt>
                <c:pt idx="19">
                  <c:v>27.5</c:v>
                </c:pt>
                <c:pt idx="20">
                  <c:v>27</c:v>
                </c:pt>
                <c:pt idx="21">
                  <c:v>27.7</c:v>
                </c:pt>
                <c:pt idx="22">
                  <c:v>28.4</c:v>
                </c:pt>
                <c:pt idx="23">
                  <c:v>28.7</c:v>
                </c:pt>
                <c:pt idx="24">
                  <c:v>27.6</c:v>
                </c:pt>
                <c:pt idx="25">
                  <c:v>27.1</c:v>
                </c:pt>
                <c:pt idx="26">
                  <c:v>27.4</c:v>
                </c:pt>
                <c:pt idx="27">
                  <c:v>24.3</c:v>
                </c:pt>
                <c:pt idx="28">
                  <c:v>28.1</c:v>
                </c:pt>
                <c:pt idx="29">
                  <c:v>26.3</c:v>
                </c:pt>
                <c:pt idx="30">
                  <c:v>28.1</c:v>
                </c:pt>
                <c:pt idx="31">
                  <c:v>29.2</c:v>
                </c:pt>
                <c:pt idx="32">
                  <c:v>29.7</c:v>
                </c:pt>
                <c:pt idx="33">
                  <c:v>29.5</c:v>
                </c:pt>
                <c:pt idx="34">
                  <c:v>24.8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ряды'!E734</c:f>
              <c:strCache>
                <c:ptCount val="1"/>
                <c:pt idx="0">
                  <c:v>Avg, мс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ряды'!$A$735:$A$769</c:f>
              <c:strCache>
                <c:ptCount val="3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</c:strCache>
            </c:strRef>
          </c:cat>
          <c:val>
            <c:numRef>
              <c:f>'Временные ряды'!$E$735:$E$769</c:f>
              <c:numCache>
                <c:formatCode>General</c:formatCode>
                <c:ptCount val="35"/>
                <c:pt idx="0">
                  <c:v>9.8</c:v>
                </c:pt>
                <c:pt idx="1">
                  <c:v>8.7</c:v>
                </c:pt>
                <c:pt idx="2">
                  <c:v>10.2</c:v>
                </c:pt>
                <c:pt idx="3">
                  <c:v>9.8</c:v>
                </c:pt>
                <c:pt idx="4">
                  <c:v>9</c:v>
                </c:pt>
                <c:pt idx="5">
                  <c:v>8.7</c:v>
                </c:pt>
                <c:pt idx="6">
                  <c:v>9.9</c:v>
                </c:pt>
                <c:pt idx="7">
                  <c:v>10.1</c:v>
                </c:pt>
                <c:pt idx="8">
                  <c:v>8.9</c:v>
                </c:pt>
                <c:pt idx="9">
                  <c:v>9.6</c:v>
                </c:pt>
                <c:pt idx="10">
                  <c:v>9.3</c:v>
                </c:pt>
                <c:pt idx="11">
                  <c:v>9</c:v>
                </c:pt>
                <c:pt idx="12">
                  <c:v>9.2</c:v>
                </c:pt>
                <c:pt idx="13">
                  <c:v>9.3</c:v>
                </c:pt>
                <c:pt idx="14">
                  <c:v>10</c:v>
                </c:pt>
                <c:pt idx="15">
                  <c:v>9.6</c:v>
                </c:pt>
                <c:pt idx="16">
                  <c:v>9.2</c:v>
                </c:pt>
                <c:pt idx="17">
                  <c:v>9.1</c:v>
                </c:pt>
                <c:pt idx="18">
                  <c:v>9.1</c:v>
                </c:pt>
                <c:pt idx="19">
                  <c:v>9</c:v>
                </c:pt>
                <c:pt idx="20">
                  <c:v>8.6</c:v>
                </c:pt>
                <c:pt idx="21">
                  <c:v>9.7</c:v>
                </c:pt>
                <c:pt idx="22">
                  <c:v>9.8</c:v>
                </c:pt>
                <c:pt idx="23">
                  <c:v>9.1</c:v>
                </c:pt>
                <c:pt idx="24">
                  <c:v>9.5</c:v>
                </c:pt>
                <c:pt idx="25">
                  <c:v>9.1</c:v>
                </c:pt>
                <c:pt idx="26">
                  <c:v>9.4</c:v>
                </c:pt>
                <c:pt idx="27">
                  <c:v>8.7</c:v>
                </c:pt>
                <c:pt idx="28">
                  <c:v>9.9</c:v>
                </c:pt>
                <c:pt idx="29">
                  <c:v>9.6</c:v>
                </c:pt>
                <c:pt idx="30">
                  <c:v>9.8</c:v>
                </c:pt>
                <c:pt idx="31">
                  <c:v>11.2</c:v>
                </c:pt>
                <c:pt idx="32">
                  <c:v>9.6</c:v>
                </c:pt>
                <c:pt idx="33">
                  <c:v>10</c:v>
                </c:pt>
                <c:pt idx="34">
                  <c:v>8.8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551075"/>
        <c:axId val="67499061"/>
      </c:lineChart>
      <c:catAx>
        <c:axId val="245510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499061"/>
        <c:crosses val="autoZero"/>
        <c:auto val="1"/>
        <c:lblAlgn val="ctr"/>
        <c:lblOffset val="100"/>
        <c:noMultiLvlLbl val="0"/>
      </c:catAx>
      <c:valAx>
        <c:axId val="674990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55107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L-10b: CPU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'Временные ряды'!G734</c:f>
              <c:strCache>
                <c:ptCount val="1"/>
                <c:pt idx="0">
                  <c:v>CPU java, %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ряды'!$A$735:$A$769</c:f>
              <c:strCache>
                <c:ptCount val="3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</c:strCache>
            </c:strRef>
          </c:cat>
          <c:val>
            <c:numRef>
              <c:f>'Временные ряды'!$G$735:$G$769</c:f>
              <c:numCache>
                <c:formatCode>General</c:formatCode>
                <c:ptCount val="35"/>
                <c:pt idx="0">
                  <c:v>13.3</c:v>
                </c:pt>
                <c:pt idx="1">
                  <c:v>10.3</c:v>
                </c:pt>
                <c:pt idx="2">
                  <c:v>10.5</c:v>
                </c:pt>
                <c:pt idx="3">
                  <c:v>3.2</c:v>
                </c:pt>
                <c:pt idx="4">
                  <c:v>10.3</c:v>
                </c:pt>
                <c:pt idx="5">
                  <c:v>10.7</c:v>
                </c:pt>
                <c:pt idx="6">
                  <c:v>10.1</c:v>
                </c:pt>
                <c:pt idx="7">
                  <c:v>10.1</c:v>
                </c:pt>
                <c:pt idx="8">
                  <c:v>10.1</c:v>
                </c:pt>
                <c:pt idx="9">
                  <c:v>3.9</c:v>
                </c:pt>
                <c:pt idx="10">
                  <c:v>10.1</c:v>
                </c:pt>
                <c:pt idx="11">
                  <c:v>9.7</c:v>
                </c:pt>
                <c:pt idx="12">
                  <c:v>10.1</c:v>
                </c:pt>
                <c:pt idx="13">
                  <c:v>10.5</c:v>
                </c:pt>
                <c:pt idx="14">
                  <c:v>11.1</c:v>
                </c:pt>
                <c:pt idx="15">
                  <c:v>11.5</c:v>
                </c:pt>
                <c:pt idx="16">
                  <c:v>4.1</c:v>
                </c:pt>
                <c:pt idx="17">
                  <c:v>10.1</c:v>
                </c:pt>
                <c:pt idx="18">
                  <c:v>9.9</c:v>
                </c:pt>
                <c:pt idx="19">
                  <c:v>11.5</c:v>
                </c:pt>
                <c:pt idx="20">
                  <c:v>10.7</c:v>
                </c:pt>
                <c:pt idx="21">
                  <c:v>10.3</c:v>
                </c:pt>
                <c:pt idx="22">
                  <c:v>3</c:v>
                </c:pt>
                <c:pt idx="23">
                  <c:v>10.9</c:v>
                </c:pt>
                <c:pt idx="24">
                  <c:v>10.9</c:v>
                </c:pt>
                <c:pt idx="25">
                  <c:v>9.7</c:v>
                </c:pt>
                <c:pt idx="26">
                  <c:v>10.5</c:v>
                </c:pt>
                <c:pt idx="27">
                  <c:v>10.1</c:v>
                </c:pt>
                <c:pt idx="28">
                  <c:v>5</c:v>
                </c:pt>
                <c:pt idx="29">
                  <c:v>10.5</c:v>
                </c:pt>
                <c:pt idx="30">
                  <c:v>12.5</c:v>
                </c:pt>
                <c:pt idx="31">
                  <c:v>11.1</c:v>
                </c:pt>
                <c:pt idx="32">
                  <c:v>11.5</c:v>
                </c:pt>
                <c:pt idx="33">
                  <c:v>11.9</c:v>
                </c:pt>
                <c:pt idx="34">
                  <c:v>7.9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'Временные ряды'!H734</c:f>
              <c:strCache>
                <c:ptCount val="1"/>
                <c:pt idx="0">
                  <c:v>CPU mysqld, %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ряды'!$A$735:$A$769</c:f>
              <c:strCache>
                <c:ptCount val="3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</c:strCache>
            </c:strRef>
          </c:cat>
          <c:val>
            <c:numRef>
              <c:f>'Временные ряды'!$H$735:$H$769</c:f>
              <c:numCache>
                <c:formatCode>General</c:formatCode>
                <c:ptCount val="35"/>
                <c:pt idx="0">
                  <c:v>38.3</c:v>
                </c:pt>
                <c:pt idx="1">
                  <c:v>31.5</c:v>
                </c:pt>
                <c:pt idx="2">
                  <c:v>37.2</c:v>
                </c:pt>
                <c:pt idx="3">
                  <c:v>10.8</c:v>
                </c:pt>
                <c:pt idx="4">
                  <c:v>32.6</c:v>
                </c:pt>
                <c:pt idx="5">
                  <c:v>33.1</c:v>
                </c:pt>
                <c:pt idx="6">
                  <c:v>37.2</c:v>
                </c:pt>
                <c:pt idx="7">
                  <c:v>36.3</c:v>
                </c:pt>
                <c:pt idx="8">
                  <c:v>33.8</c:v>
                </c:pt>
                <c:pt idx="9">
                  <c:v>16.7</c:v>
                </c:pt>
                <c:pt idx="10">
                  <c:v>35.7</c:v>
                </c:pt>
                <c:pt idx="11">
                  <c:v>32.7</c:v>
                </c:pt>
                <c:pt idx="12">
                  <c:v>32.3</c:v>
                </c:pt>
                <c:pt idx="13">
                  <c:v>35.8</c:v>
                </c:pt>
                <c:pt idx="14">
                  <c:v>37</c:v>
                </c:pt>
                <c:pt idx="15">
                  <c:v>36</c:v>
                </c:pt>
                <c:pt idx="16">
                  <c:v>12.3</c:v>
                </c:pt>
                <c:pt idx="17">
                  <c:v>31.9</c:v>
                </c:pt>
                <c:pt idx="18">
                  <c:v>32.8</c:v>
                </c:pt>
                <c:pt idx="19">
                  <c:v>35.2</c:v>
                </c:pt>
                <c:pt idx="20">
                  <c:v>31.7</c:v>
                </c:pt>
                <c:pt idx="21">
                  <c:v>36.8</c:v>
                </c:pt>
                <c:pt idx="22">
                  <c:v>7.8</c:v>
                </c:pt>
                <c:pt idx="23">
                  <c:v>34</c:v>
                </c:pt>
                <c:pt idx="24">
                  <c:v>36.1</c:v>
                </c:pt>
                <c:pt idx="25">
                  <c:v>32.6</c:v>
                </c:pt>
                <c:pt idx="26">
                  <c:v>35.3</c:v>
                </c:pt>
                <c:pt idx="27">
                  <c:v>33.9</c:v>
                </c:pt>
                <c:pt idx="28">
                  <c:v>14.9</c:v>
                </c:pt>
                <c:pt idx="29">
                  <c:v>36.5</c:v>
                </c:pt>
                <c:pt idx="30">
                  <c:v>35.8</c:v>
                </c:pt>
                <c:pt idx="31">
                  <c:v>41.8</c:v>
                </c:pt>
                <c:pt idx="32">
                  <c:v>35.9</c:v>
                </c:pt>
                <c:pt idx="33">
                  <c:v>37.4</c:v>
                </c:pt>
                <c:pt idx="34">
                  <c:v>22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'Временные ряды'!I734</c:f>
              <c:strCache>
                <c:ptCount val="1"/>
                <c:pt idx="0">
                  <c:v>CPU машины, 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'Временные ряды'!$A$735:$A$769</c:f>
              <c:strCache>
                <c:ptCount val="3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</c:strCache>
            </c:strRef>
          </c:cat>
          <c:val>
            <c:numRef>
              <c:f>'Временные ряды'!$I$735:$I$769</c:f>
              <c:numCache>
                <c:formatCode>General</c:formatCode>
                <c:ptCount val="35"/>
                <c:pt idx="0">
                  <c:v>4.3</c:v>
                </c:pt>
                <c:pt idx="1">
                  <c:v>3.2</c:v>
                </c:pt>
                <c:pt idx="2">
                  <c:v>3.6</c:v>
                </c:pt>
                <c:pt idx="3">
                  <c:v>3.5</c:v>
                </c:pt>
                <c:pt idx="4">
                  <c:v>3.3</c:v>
                </c:pt>
                <c:pt idx="5">
                  <c:v>3.2</c:v>
                </c:pt>
                <c:pt idx="6">
                  <c:v>3.5</c:v>
                </c:pt>
                <c:pt idx="7">
                  <c:v>3.6</c:v>
                </c:pt>
                <c:pt idx="8">
                  <c:v>3.5</c:v>
                </c:pt>
                <c:pt idx="9">
                  <c:v>3.4</c:v>
                </c:pt>
                <c:pt idx="10">
                  <c:v>3.4</c:v>
                </c:pt>
                <c:pt idx="11">
                  <c:v>3.3</c:v>
                </c:pt>
                <c:pt idx="12">
                  <c:v>3.1</c:v>
                </c:pt>
                <c:pt idx="13">
                  <c:v>3.6</c:v>
                </c:pt>
                <c:pt idx="14">
                  <c:v>3.8</c:v>
                </c:pt>
                <c:pt idx="15">
                  <c:v>3.6</c:v>
                </c:pt>
                <c:pt idx="16">
                  <c:v>3.9</c:v>
                </c:pt>
                <c:pt idx="17">
                  <c:v>3.2</c:v>
                </c:pt>
                <c:pt idx="18">
                  <c:v>3.1</c:v>
                </c:pt>
                <c:pt idx="19">
                  <c:v>3.4</c:v>
                </c:pt>
                <c:pt idx="20">
                  <c:v>3.2</c:v>
                </c:pt>
                <c:pt idx="21">
                  <c:v>3.7</c:v>
                </c:pt>
                <c:pt idx="22">
                  <c:v>3.5</c:v>
                </c:pt>
                <c:pt idx="23">
                  <c:v>3.2</c:v>
                </c:pt>
                <c:pt idx="24">
                  <c:v>3.5</c:v>
                </c:pt>
                <c:pt idx="25">
                  <c:v>3.4</c:v>
                </c:pt>
                <c:pt idx="26">
                  <c:v>3.7</c:v>
                </c:pt>
                <c:pt idx="27">
                  <c:v>3.2</c:v>
                </c:pt>
                <c:pt idx="28">
                  <c:v>3.5</c:v>
                </c:pt>
                <c:pt idx="29">
                  <c:v>3.5</c:v>
                </c:pt>
                <c:pt idx="30">
                  <c:v>3.8</c:v>
                </c:pt>
                <c:pt idx="31">
                  <c:v>3.9</c:v>
                </c:pt>
                <c:pt idx="32">
                  <c:v>3.7</c:v>
                </c:pt>
                <c:pt idx="33">
                  <c:v>3.7</c:v>
                </c:pt>
                <c:pt idx="34">
                  <c:v>2.3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862311"/>
        <c:axId val="29600384"/>
      </c:lineChart>
      <c:catAx>
        <c:axId val="598623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секунды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600384"/>
        <c:crosses val="autoZero"/>
        <c:auto val="1"/>
        <c:lblAlgn val="ctr"/>
        <c:lblOffset val="100"/>
        <c:noMultiLvlLbl val="0"/>
      </c:catAx>
      <c:valAx>
        <c:axId val="296003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8623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p95, мс: стартовая БД и БД ×100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'Объёмный тест'!H4</c:f>
              <c:strCache>
                <c:ptCount val="1"/>
                <c:pt idx="0">
                  <c:v>p95 база, мс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'Объёмный тест'!$A$5:$A$13</c:f>
              <c:strCache>
                <c:ptCount val="9"/>
                <c:pt idx="0">
                  <c:v>Образы: первая страница (12)</c:v>
                </c:pt>
                <c:pt idx="1">
                  <c:v>Образы: страница 100 макс. размера</c:v>
                </c:pt>
                <c:pt idx="2">
                  <c:v>Образы: глубокая страница (page=1500)</c:v>
                </c:pt>
                <c:pt idx="3">
                  <c:v>Образы: поиск по подстроке</c:v>
                </c:pt>
                <c:pt idx="4">
                  <c:v>Образы: фильтр по 2 компонентам</c:v>
                </c:pt>
                <c:pt idx="5">
                  <c:v>Образы: сортировка по цене ↓ + статус</c:v>
                </c:pt>
                <c:pt idx="6">
                  <c:v>Компоненты: первая страница</c:v>
                </c:pt>
                <c:pt idx="7">
                  <c:v>Компоненты: поиск + тип + цена ↑</c:v>
                </c:pt>
                <c:pt idx="8">
                  <c:v>Пользователи (ADMIN): поиск</c:v>
                </c:pt>
              </c:strCache>
            </c:strRef>
          </c:cat>
          <c:val>
            <c:numRef>
              <c:f>'Объёмный тест'!$H$5:$H$13</c:f>
              <c:numCache>
                <c:formatCode>0.0</c:formatCode>
                <c:ptCount val="9"/>
                <c:pt idx="0">
                  <c:v>10.5</c:v>
                </c:pt>
                <c:pt idx="1">
                  <c:v>44.2</c:v>
                </c:pt>
                <c:pt idx="2">
                  <c:v>3.9</c:v>
                </c:pt>
                <c:pt idx="3">
                  <c:v>3.1</c:v>
                </c:pt>
                <c:pt idx="4">
                  <c:v>10.4</c:v>
                </c:pt>
                <c:pt idx="5">
                  <c:v>9.6</c:v>
                </c:pt>
                <c:pt idx="6">
                  <c:v>6.7</c:v>
                </c:pt>
                <c:pt idx="7">
                  <c:v>2.6</c:v>
                </c:pt>
                <c:pt idx="8">
                  <c:v>5</c:v>
                </c:pt>
              </c:numCache>
            </c:numRef>
          </c:val>
        </c:ser>
        <c:ser>
          <c:idx val="1"/>
          <c:order val="1"/>
          <c:tx>
            <c:strRef>
              <c:f>'Объёмный тест'!I4</c:f>
              <c:strCache>
                <c:ptCount val="1"/>
                <c:pt idx="0">
                  <c:v>p95 ×100, мс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'Объёмный тест'!$A$5:$A$13</c:f>
              <c:strCache>
                <c:ptCount val="9"/>
                <c:pt idx="0">
                  <c:v>Образы: первая страница (12)</c:v>
                </c:pt>
                <c:pt idx="1">
                  <c:v>Образы: страница 100 макс. размера</c:v>
                </c:pt>
                <c:pt idx="2">
                  <c:v>Образы: глубокая страница (page=1500)</c:v>
                </c:pt>
                <c:pt idx="3">
                  <c:v>Образы: поиск по подстроке</c:v>
                </c:pt>
                <c:pt idx="4">
                  <c:v>Образы: фильтр по 2 компонентам</c:v>
                </c:pt>
                <c:pt idx="5">
                  <c:v>Образы: сортировка по цене ↓ + статус</c:v>
                </c:pt>
                <c:pt idx="6">
                  <c:v>Компоненты: первая страница</c:v>
                </c:pt>
                <c:pt idx="7">
                  <c:v>Компоненты: поиск + тип + цена ↑</c:v>
                </c:pt>
                <c:pt idx="8">
                  <c:v>Пользователи (ADMIN): поиск</c:v>
                </c:pt>
              </c:strCache>
            </c:strRef>
          </c:cat>
          <c:val>
            <c:numRef>
              <c:f>'Объёмный тест'!$I$5:$I$13</c:f>
              <c:numCache>
                <c:formatCode>0.0</c:formatCode>
                <c:ptCount val="9"/>
                <c:pt idx="0">
                  <c:v>17.9</c:v>
                </c:pt>
                <c:pt idx="1">
                  <c:v>102.8</c:v>
                </c:pt>
                <c:pt idx="2">
                  <c:v>26.9</c:v>
                </c:pt>
                <c:pt idx="3">
                  <c:v>32.8</c:v>
                </c:pt>
                <c:pt idx="4">
                  <c:v>10.4</c:v>
                </c:pt>
                <c:pt idx="5">
                  <c:v>35.7</c:v>
                </c:pt>
                <c:pt idx="6">
                  <c:v>7.4</c:v>
                </c:pt>
                <c:pt idx="7">
                  <c:v>10.4</c:v>
                </c:pt>
                <c:pt idx="8">
                  <c:v>14.8</c:v>
                </c:pt>
              </c:numCache>
            </c:numRef>
          </c:val>
        </c:ser>
        <c:gapWidth val="150"/>
        <c:overlap val="0"/>
        <c:axId val="61578723"/>
        <c:axId val="86646138"/>
      </c:barChart>
      <c:catAx>
        <c:axId val="615787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646138"/>
        <c:crosses val="autoZero"/>
        <c:auto val="1"/>
        <c:lblAlgn val="ctr"/>
        <c:lblOffset val="100"/>
        <c:noMultiLvlLbl val="0"/>
      </c:catAx>
      <c:valAx>
        <c:axId val="866461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57872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Relationship Id="rId7" Type="http://schemas.openxmlformats.org/officeDocument/2006/relationships/chart" Target="../charts/chart13.xml"/><Relationship Id="rId8" Type="http://schemas.openxmlformats.org/officeDocument/2006/relationships/chart" Target="../charts/chart14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<Relationship Id="rId5" Type="http://schemas.openxmlformats.org/officeDocument/2006/relationships/chart" Target="../charts/chart19.xml"/><Relationship Id="rId6" Type="http://schemas.openxmlformats.org/officeDocument/2006/relationships/chart" Target="../charts/chart20.xml"/><Relationship Id="rId7" Type="http://schemas.openxmlformats.org/officeDocument/2006/relationships/chart" Target="../charts/chart21.xml"/><Relationship Id="rId8" Type="http://schemas.openxmlformats.org/officeDocument/2006/relationships/chart" Target="../charts/chart22.xml"/><Relationship Id="rId9" Type="http://schemas.openxmlformats.org/officeDocument/2006/relationships/chart" Target="../charts/chart23.xml"/><Relationship Id="rId10" Type="http://schemas.openxmlformats.org/officeDocument/2006/relationships/chart" Target="../charts/chart24.xml"/><Relationship Id="rId11" Type="http://schemas.openxmlformats.org/officeDocument/2006/relationships/chart" Target="../charts/chart25.xml"/><Relationship Id="rId12" Type="http://schemas.openxmlformats.org/officeDocument/2006/relationships/chart" Target="../charts/chart26.xml"/><Relationship Id="rId13" Type="http://schemas.openxmlformats.org/officeDocument/2006/relationships/chart" Target="../charts/chart27.xml"/><Relationship Id="rId14" Type="http://schemas.openxmlformats.org/officeDocument/2006/relationships/chart" Target="../charts/chart28.xml"/><Relationship Id="rId15" Type="http://schemas.openxmlformats.org/officeDocument/2006/relationships/chart" Target="../charts/chart29.xml"/><Relationship Id="rId16" Type="http://schemas.openxmlformats.org/officeDocument/2006/relationships/chart" Target="../charts/chart30.xml"/><Relationship Id="rId17" Type="http://schemas.openxmlformats.org/officeDocument/2006/relationships/chart" Target="../charts/chart31.xml"/><Relationship Id="rId18" Type="http://schemas.openxmlformats.org/officeDocument/2006/relationships/chart" Target="../charts/chart32.xml"/><Relationship Id="rId19" Type="http://schemas.openxmlformats.org/officeDocument/2006/relationships/chart" Target="../charts/chart33.xml"/><Relationship Id="rId20" Type="http://schemas.openxmlformats.org/officeDocument/2006/relationships/chart" Target="../charts/chart34.xml"/><Relationship Id="rId21" Type="http://schemas.openxmlformats.org/officeDocument/2006/relationships/chart" Target="../charts/chart35.xml"/><Relationship Id="rId22" Type="http://schemas.openxmlformats.org/officeDocument/2006/relationships/chart" Target="../charts/chart36.xml"/><Relationship Id="rId23" Type="http://schemas.openxmlformats.org/officeDocument/2006/relationships/chart" Target="../charts/chart37.xml"/><Relationship Id="rId24" Type="http://schemas.openxmlformats.org/officeDocument/2006/relationships/chart" Target="../charts/chart38.xml"/><Relationship Id="rId25" Type="http://schemas.openxmlformats.org/officeDocument/2006/relationships/chart" Target="../charts/chart39.xml"/><Relationship Id="rId26" Type="http://schemas.openxmlformats.org/officeDocument/2006/relationships/chart" Target="../charts/chart40.xml"/><Relationship Id="rId27" Type="http://schemas.openxmlformats.org/officeDocument/2006/relationships/chart" Target="../charts/chart41.xml"/><Relationship Id="rId28" Type="http://schemas.openxmlformats.org/officeDocument/2006/relationships/chart" Target="../charts/chart42.xml"/><Relationship Id="rId29" Type="http://schemas.openxmlformats.org/officeDocument/2006/relationships/chart" Target="../charts/chart43.xml"/><Relationship Id="rId30" Type="http://schemas.openxmlformats.org/officeDocument/2006/relationships/chart" Target="../charts/chart44.xml"/><Relationship Id="rId31" Type="http://schemas.openxmlformats.org/officeDocument/2006/relationships/chart" Target="../charts/chart45.xml"/><Relationship Id="rId32" Type="http://schemas.openxmlformats.org/officeDocument/2006/relationships/chart" Target="../charts/chart46.xml"/><Relationship Id="rId33" Type="http://schemas.openxmlformats.org/officeDocument/2006/relationships/chart" Target="../charts/chart47.xml"/><Relationship Id="rId34" Type="http://schemas.openxmlformats.org/officeDocument/2006/relationships/chart" Target="../charts/chart48.xml"/><Relationship Id="rId35" Type="http://schemas.openxmlformats.org/officeDocument/2006/relationships/chart" Target="../charts/chart49.xml"/><Relationship Id="rId36" Type="http://schemas.openxmlformats.org/officeDocument/2006/relationships/chart" Target="../charts/chart50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5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14</xdr:row>
      <xdr:rowOff>160560</xdr:rowOff>
    </xdr:from>
    <xdr:to>
      <xdr:col>18</xdr:col>
      <xdr:colOff>256320</xdr:colOff>
      <xdr:row>28</xdr:row>
      <xdr:rowOff>182520</xdr:rowOff>
    </xdr:to>
    <xdr:graphicFrame>
      <xdr:nvGraphicFramePr>
        <xdr:cNvPr id="1" name="Chart 1"/>
        <xdr:cNvGraphicFramePr/>
      </xdr:nvGraphicFramePr>
      <xdr:xfrm>
        <a:off x="11043360" y="7238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32</xdr:row>
      <xdr:rowOff>160920</xdr:rowOff>
    </xdr:from>
    <xdr:to>
      <xdr:col>18</xdr:col>
      <xdr:colOff>256320</xdr:colOff>
      <xdr:row>46</xdr:row>
      <xdr:rowOff>182880</xdr:rowOff>
    </xdr:to>
    <xdr:graphicFrame>
      <xdr:nvGraphicFramePr>
        <xdr:cNvPr id="2" name="Chart 2"/>
        <xdr:cNvGraphicFramePr/>
      </xdr:nvGraphicFramePr>
      <xdr:xfrm>
        <a:off x="11043360" y="10858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68</xdr:row>
      <xdr:rowOff>179640</xdr:rowOff>
    </xdr:from>
    <xdr:to>
      <xdr:col>17</xdr:col>
      <xdr:colOff>147600</xdr:colOff>
      <xdr:row>79</xdr:row>
      <xdr:rowOff>144000</xdr:rowOff>
    </xdr:to>
    <xdr:graphicFrame>
      <xdr:nvGraphicFramePr>
        <xdr:cNvPr id="3" name="Chart 3"/>
        <xdr:cNvGraphicFramePr/>
      </xdr:nvGraphicFramePr>
      <xdr:xfrm>
        <a:off x="11043360" y="1924056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0</xdr:colOff>
      <xdr:row>68</xdr:row>
      <xdr:rowOff>179640</xdr:rowOff>
    </xdr:from>
    <xdr:to>
      <xdr:col>25</xdr:col>
      <xdr:colOff>147600</xdr:colOff>
      <xdr:row>79</xdr:row>
      <xdr:rowOff>144000</xdr:rowOff>
    </xdr:to>
    <xdr:graphicFrame>
      <xdr:nvGraphicFramePr>
        <xdr:cNvPr id="4" name="Chart 4"/>
        <xdr:cNvGraphicFramePr/>
      </xdr:nvGraphicFramePr>
      <xdr:xfrm>
        <a:off x="15935400" y="1924056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84</xdr:row>
      <xdr:rowOff>111240</xdr:rowOff>
    </xdr:from>
    <xdr:to>
      <xdr:col>17</xdr:col>
      <xdr:colOff>147600</xdr:colOff>
      <xdr:row>97</xdr:row>
      <xdr:rowOff>143640</xdr:rowOff>
    </xdr:to>
    <xdr:graphicFrame>
      <xdr:nvGraphicFramePr>
        <xdr:cNvPr id="5" name="Chart 5"/>
        <xdr:cNvGraphicFramePr/>
      </xdr:nvGraphicFramePr>
      <xdr:xfrm>
        <a:off x="11043360" y="2286000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17</xdr:col>
      <xdr:colOff>0</xdr:colOff>
      <xdr:row>84</xdr:row>
      <xdr:rowOff>111240</xdr:rowOff>
    </xdr:from>
    <xdr:to>
      <xdr:col>25</xdr:col>
      <xdr:colOff>147600</xdr:colOff>
      <xdr:row>97</xdr:row>
      <xdr:rowOff>143640</xdr:rowOff>
    </xdr:to>
    <xdr:graphicFrame>
      <xdr:nvGraphicFramePr>
        <xdr:cNvPr id="6" name="Chart 6"/>
        <xdr:cNvGraphicFramePr/>
      </xdr:nvGraphicFramePr>
      <xdr:xfrm>
        <a:off x="15935400" y="2286000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160920</xdr:rowOff>
    </xdr:from>
    <xdr:to>
      <xdr:col>19</xdr:col>
      <xdr:colOff>364680</xdr:colOff>
      <xdr:row>16</xdr:row>
      <xdr:rowOff>2880</xdr:rowOff>
    </xdr:to>
    <xdr:graphicFrame>
      <xdr:nvGraphicFramePr>
        <xdr:cNvPr id="7" name="Chart 1"/>
        <xdr:cNvGraphicFramePr/>
      </xdr:nvGraphicFramePr>
      <xdr:xfrm>
        <a:off x="8928720" y="57168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</xdr:row>
      <xdr:rowOff>160920</xdr:rowOff>
    </xdr:from>
    <xdr:to>
      <xdr:col>27</xdr:col>
      <xdr:colOff>39240</xdr:colOff>
      <xdr:row>16</xdr:row>
      <xdr:rowOff>2880</xdr:rowOff>
    </xdr:to>
    <xdr:graphicFrame>
      <xdr:nvGraphicFramePr>
        <xdr:cNvPr id="8" name="Chart 2"/>
        <xdr:cNvGraphicFramePr/>
      </xdr:nvGraphicFramePr>
      <xdr:xfrm>
        <a:off x="15655320" y="57168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20</xdr:row>
      <xdr:rowOff>160920</xdr:rowOff>
    </xdr:from>
    <xdr:to>
      <xdr:col>19</xdr:col>
      <xdr:colOff>364680</xdr:colOff>
      <xdr:row>34</xdr:row>
      <xdr:rowOff>2880</xdr:rowOff>
    </xdr:to>
    <xdr:graphicFrame>
      <xdr:nvGraphicFramePr>
        <xdr:cNvPr id="9" name="Chart 3"/>
        <xdr:cNvGraphicFramePr/>
      </xdr:nvGraphicFramePr>
      <xdr:xfrm>
        <a:off x="8928720" y="419112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0</xdr:colOff>
      <xdr:row>20</xdr:row>
      <xdr:rowOff>160920</xdr:rowOff>
    </xdr:from>
    <xdr:to>
      <xdr:col>27</xdr:col>
      <xdr:colOff>39240</xdr:colOff>
      <xdr:row>34</xdr:row>
      <xdr:rowOff>2880</xdr:rowOff>
    </xdr:to>
    <xdr:graphicFrame>
      <xdr:nvGraphicFramePr>
        <xdr:cNvPr id="10" name="Chart 4"/>
        <xdr:cNvGraphicFramePr/>
      </xdr:nvGraphicFramePr>
      <xdr:xfrm>
        <a:off x="15655320" y="419112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38</xdr:row>
      <xdr:rowOff>160560</xdr:rowOff>
    </xdr:from>
    <xdr:to>
      <xdr:col>19</xdr:col>
      <xdr:colOff>364680</xdr:colOff>
      <xdr:row>52</xdr:row>
      <xdr:rowOff>2880</xdr:rowOff>
    </xdr:to>
    <xdr:graphicFrame>
      <xdr:nvGraphicFramePr>
        <xdr:cNvPr id="11" name="Chart 5"/>
        <xdr:cNvGraphicFramePr/>
      </xdr:nvGraphicFramePr>
      <xdr:xfrm>
        <a:off x="8928720" y="781056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0</xdr:colOff>
      <xdr:row>38</xdr:row>
      <xdr:rowOff>160560</xdr:rowOff>
    </xdr:from>
    <xdr:to>
      <xdr:col>27</xdr:col>
      <xdr:colOff>39240</xdr:colOff>
      <xdr:row>52</xdr:row>
      <xdr:rowOff>2880</xdr:rowOff>
    </xdr:to>
    <xdr:graphicFrame>
      <xdr:nvGraphicFramePr>
        <xdr:cNvPr id="12" name="Chart 6"/>
        <xdr:cNvGraphicFramePr/>
      </xdr:nvGraphicFramePr>
      <xdr:xfrm>
        <a:off x="15655320" y="781056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0</xdr:colOff>
      <xdr:row>56</xdr:row>
      <xdr:rowOff>160560</xdr:rowOff>
    </xdr:from>
    <xdr:to>
      <xdr:col>19</xdr:col>
      <xdr:colOff>364680</xdr:colOff>
      <xdr:row>70</xdr:row>
      <xdr:rowOff>2880</xdr:rowOff>
    </xdr:to>
    <xdr:graphicFrame>
      <xdr:nvGraphicFramePr>
        <xdr:cNvPr id="13" name="Chart 7"/>
        <xdr:cNvGraphicFramePr/>
      </xdr:nvGraphicFramePr>
      <xdr:xfrm>
        <a:off x="8928720" y="1143000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20</xdr:col>
      <xdr:colOff>0</xdr:colOff>
      <xdr:row>56</xdr:row>
      <xdr:rowOff>160560</xdr:rowOff>
    </xdr:from>
    <xdr:to>
      <xdr:col>27</xdr:col>
      <xdr:colOff>39240</xdr:colOff>
      <xdr:row>70</xdr:row>
      <xdr:rowOff>2880</xdr:rowOff>
    </xdr:to>
    <xdr:graphicFrame>
      <xdr:nvGraphicFramePr>
        <xdr:cNvPr id="14" name="Chart 8"/>
        <xdr:cNvGraphicFramePr/>
      </xdr:nvGraphicFramePr>
      <xdr:xfrm>
        <a:off x="15655320" y="1143000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160920</xdr:rowOff>
    </xdr:from>
    <xdr:to>
      <xdr:col>21</xdr:col>
      <xdr:colOff>255960</xdr:colOff>
      <xdr:row>15</xdr:row>
      <xdr:rowOff>13320</xdr:rowOff>
    </xdr:to>
    <xdr:graphicFrame>
      <xdr:nvGraphicFramePr>
        <xdr:cNvPr id="15" name="Chart 1"/>
        <xdr:cNvGraphicFramePr/>
      </xdr:nvGraphicFramePr>
      <xdr:xfrm>
        <a:off x="8294400" y="5716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0</xdr:colOff>
      <xdr:row>2</xdr:row>
      <xdr:rowOff>160920</xdr:rowOff>
    </xdr:from>
    <xdr:to>
      <xdr:col>31</xdr:col>
      <xdr:colOff>255960</xdr:colOff>
      <xdr:row>15</xdr:row>
      <xdr:rowOff>13320</xdr:rowOff>
    </xdr:to>
    <xdr:graphicFrame>
      <xdr:nvGraphicFramePr>
        <xdr:cNvPr id="16" name="Chart 2"/>
        <xdr:cNvGraphicFramePr/>
      </xdr:nvGraphicFramePr>
      <xdr:xfrm>
        <a:off x="14409360" y="5716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32</xdr:col>
      <xdr:colOff>0</xdr:colOff>
      <xdr:row>2</xdr:row>
      <xdr:rowOff>160920</xdr:rowOff>
    </xdr:from>
    <xdr:to>
      <xdr:col>41</xdr:col>
      <xdr:colOff>255960</xdr:colOff>
      <xdr:row>15</xdr:row>
      <xdr:rowOff>13320</xdr:rowOff>
    </xdr:to>
    <xdr:graphicFrame>
      <xdr:nvGraphicFramePr>
        <xdr:cNvPr id="17" name="Chart 3"/>
        <xdr:cNvGraphicFramePr/>
      </xdr:nvGraphicFramePr>
      <xdr:xfrm>
        <a:off x="20524320" y="5716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19</xdr:row>
      <xdr:rowOff>160920</xdr:rowOff>
    </xdr:from>
    <xdr:to>
      <xdr:col>21</xdr:col>
      <xdr:colOff>255960</xdr:colOff>
      <xdr:row>32</xdr:row>
      <xdr:rowOff>13320</xdr:rowOff>
    </xdr:to>
    <xdr:graphicFrame>
      <xdr:nvGraphicFramePr>
        <xdr:cNvPr id="18" name="Chart 4"/>
        <xdr:cNvGraphicFramePr/>
      </xdr:nvGraphicFramePr>
      <xdr:xfrm>
        <a:off x="8294400" y="40006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22</xdr:col>
      <xdr:colOff>0</xdr:colOff>
      <xdr:row>19</xdr:row>
      <xdr:rowOff>160920</xdr:rowOff>
    </xdr:from>
    <xdr:to>
      <xdr:col>31</xdr:col>
      <xdr:colOff>255960</xdr:colOff>
      <xdr:row>32</xdr:row>
      <xdr:rowOff>13320</xdr:rowOff>
    </xdr:to>
    <xdr:graphicFrame>
      <xdr:nvGraphicFramePr>
        <xdr:cNvPr id="19" name="Chart 5"/>
        <xdr:cNvGraphicFramePr/>
      </xdr:nvGraphicFramePr>
      <xdr:xfrm>
        <a:off x="14409360" y="40006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32</xdr:col>
      <xdr:colOff>0</xdr:colOff>
      <xdr:row>19</xdr:row>
      <xdr:rowOff>160920</xdr:rowOff>
    </xdr:from>
    <xdr:to>
      <xdr:col>41</xdr:col>
      <xdr:colOff>255960</xdr:colOff>
      <xdr:row>32</xdr:row>
      <xdr:rowOff>13320</xdr:rowOff>
    </xdr:to>
    <xdr:graphicFrame>
      <xdr:nvGraphicFramePr>
        <xdr:cNvPr id="20" name="Chart 6"/>
        <xdr:cNvGraphicFramePr/>
      </xdr:nvGraphicFramePr>
      <xdr:xfrm>
        <a:off x="20524320" y="40006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0</xdr:colOff>
      <xdr:row>75</xdr:row>
      <xdr:rowOff>160560</xdr:rowOff>
    </xdr:from>
    <xdr:to>
      <xdr:col>21</xdr:col>
      <xdr:colOff>255960</xdr:colOff>
      <xdr:row>88</xdr:row>
      <xdr:rowOff>13320</xdr:rowOff>
    </xdr:to>
    <xdr:graphicFrame>
      <xdr:nvGraphicFramePr>
        <xdr:cNvPr id="21" name="Chart 7"/>
        <xdr:cNvGraphicFramePr/>
      </xdr:nvGraphicFramePr>
      <xdr:xfrm>
        <a:off x="8294400" y="1485900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22</xdr:col>
      <xdr:colOff>0</xdr:colOff>
      <xdr:row>75</xdr:row>
      <xdr:rowOff>160560</xdr:rowOff>
    </xdr:from>
    <xdr:to>
      <xdr:col>31</xdr:col>
      <xdr:colOff>255960</xdr:colOff>
      <xdr:row>88</xdr:row>
      <xdr:rowOff>13320</xdr:rowOff>
    </xdr:to>
    <xdr:graphicFrame>
      <xdr:nvGraphicFramePr>
        <xdr:cNvPr id="22" name="Chart 8"/>
        <xdr:cNvGraphicFramePr/>
      </xdr:nvGraphicFramePr>
      <xdr:xfrm>
        <a:off x="14409360" y="1485900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32</xdr:col>
      <xdr:colOff>0</xdr:colOff>
      <xdr:row>75</xdr:row>
      <xdr:rowOff>160560</xdr:rowOff>
    </xdr:from>
    <xdr:to>
      <xdr:col>41</xdr:col>
      <xdr:colOff>255960</xdr:colOff>
      <xdr:row>88</xdr:row>
      <xdr:rowOff>13320</xdr:rowOff>
    </xdr:to>
    <xdr:graphicFrame>
      <xdr:nvGraphicFramePr>
        <xdr:cNvPr id="23" name="Chart 9"/>
        <xdr:cNvGraphicFramePr/>
      </xdr:nvGraphicFramePr>
      <xdr:xfrm>
        <a:off x="20524320" y="1485900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12</xdr:col>
      <xdr:colOff>0</xdr:colOff>
      <xdr:row>154</xdr:row>
      <xdr:rowOff>160560</xdr:rowOff>
    </xdr:from>
    <xdr:to>
      <xdr:col>21</xdr:col>
      <xdr:colOff>255960</xdr:colOff>
      <xdr:row>167</xdr:row>
      <xdr:rowOff>13320</xdr:rowOff>
    </xdr:to>
    <xdr:graphicFrame>
      <xdr:nvGraphicFramePr>
        <xdr:cNvPr id="24" name="Chart 10"/>
        <xdr:cNvGraphicFramePr/>
      </xdr:nvGraphicFramePr>
      <xdr:xfrm>
        <a:off x="8294400" y="300988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22</xdr:col>
      <xdr:colOff>0</xdr:colOff>
      <xdr:row>154</xdr:row>
      <xdr:rowOff>160560</xdr:rowOff>
    </xdr:from>
    <xdr:to>
      <xdr:col>31</xdr:col>
      <xdr:colOff>255960</xdr:colOff>
      <xdr:row>167</xdr:row>
      <xdr:rowOff>13320</xdr:rowOff>
    </xdr:to>
    <xdr:graphicFrame>
      <xdr:nvGraphicFramePr>
        <xdr:cNvPr id="25" name="Chart 11"/>
        <xdr:cNvGraphicFramePr/>
      </xdr:nvGraphicFramePr>
      <xdr:xfrm>
        <a:off x="14409360" y="300988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32</xdr:col>
      <xdr:colOff>0</xdr:colOff>
      <xdr:row>154</xdr:row>
      <xdr:rowOff>160560</xdr:rowOff>
    </xdr:from>
    <xdr:to>
      <xdr:col>41</xdr:col>
      <xdr:colOff>255960</xdr:colOff>
      <xdr:row>167</xdr:row>
      <xdr:rowOff>13320</xdr:rowOff>
    </xdr:to>
    <xdr:graphicFrame>
      <xdr:nvGraphicFramePr>
        <xdr:cNvPr id="26" name="Chart 12"/>
        <xdr:cNvGraphicFramePr/>
      </xdr:nvGraphicFramePr>
      <xdr:xfrm>
        <a:off x="20524320" y="300988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12</xdr:col>
      <xdr:colOff>0</xdr:colOff>
      <xdr:row>261</xdr:row>
      <xdr:rowOff>160560</xdr:rowOff>
    </xdr:from>
    <xdr:to>
      <xdr:col>21</xdr:col>
      <xdr:colOff>255960</xdr:colOff>
      <xdr:row>274</xdr:row>
      <xdr:rowOff>13320</xdr:rowOff>
    </xdr:to>
    <xdr:graphicFrame>
      <xdr:nvGraphicFramePr>
        <xdr:cNvPr id="27" name="Chart 13"/>
        <xdr:cNvGraphicFramePr/>
      </xdr:nvGraphicFramePr>
      <xdr:xfrm>
        <a:off x="8294400" y="506728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22</xdr:col>
      <xdr:colOff>0</xdr:colOff>
      <xdr:row>261</xdr:row>
      <xdr:rowOff>160560</xdr:rowOff>
    </xdr:from>
    <xdr:to>
      <xdr:col>31</xdr:col>
      <xdr:colOff>255960</xdr:colOff>
      <xdr:row>274</xdr:row>
      <xdr:rowOff>13320</xdr:rowOff>
    </xdr:to>
    <xdr:graphicFrame>
      <xdr:nvGraphicFramePr>
        <xdr:cNvPr id="28" name="Chart 14"/>
        <xdr:cNvGraphicFramePr/>
      </xdr:nvGraphicFramePr>
      <xdr:xfrm>
        <a:off x="14409360" y="506728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32</xdr:col>
      <xdr:colOff>0</xdr:colOff>
      <xdr:row>261</xdr:row>
      <xdr:rowOff>160560</xdr:rowOff>
    </xdr:from>
    <xdr:to>
      <xdr:col>41</xdr:col>
      <xdr:colOff>255960</xdr:colOff>
      <xdr:row>274</xdr:row>
      <xdr:rowOff>13320</xdr:rowOff>
    </xdr:to>
    <xdr:graphicFrame>
      <xdr:nvGraphicFramePr>
        <xdr:cNvPr id="29" name="Chart 15"/>
        <xdr:cNvGraphicFramePr/>
      </xdr:nvGraphicFramePr>
      <xdr:xfrm>
        <a:off x="20524320" y="506728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12</xdr:col>
      <xdr:colOff>0</xdr:colOff>
      <xdr:row>352</xdr:row>
      <xdr:rowOff>160920</xdr:rowOff>
    </xdr:from>
    <xdr:to>
      <xdr:col>21</xdr:col>
      <xdr:colOff>255960</xdr:colOff>
      <xdr:row>365</xdr:row>
      <xdr:rowOff>13320</xdr:rowOff>
    </xdr:to>
    <xdr:graphicFrame>
      <xdr:nvGraphicFramePr>
        <xdr:cNvPr id="30" name="Chart 16"/>
        <xdr:cNvGraphicFramePr/>
      </xdr:nvGraphicFramePr>
      <xdr:xfrm>
        <a:off x="8294400" y="6819912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22</xdr:col>
      <xdr:colOff>0</xdr:colOff>
      <xdr:row>352</xdr:row>
      <xdr:rowOff>160920</xdr:rowOff>
    </xdr:from>
    <xdr:to>
      <xdr:col>31</xdr:col>
      <xdr:colOff>255960</xdr:colOff>
      <xdr:row>365</xdr:row>
      <xdr:rowOff>13320</xdr:rowOff>
    </xdr:to>
    <xdr:graphicFrame>
      <xdr:nvGraphicFramePr>
        <xdr:cNvPr id="31" name="Chart 17"/>
        <xdr:cNvGraphicFramePr/>
      </xdr:nvGraphicFramePr>
      <xdr:xfrm>
        <a:off x="14409360" y="6819912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32</xdr:col>
      <xdr:colOff>0</xdr:colOff>
      <xdr:row>352</xdr:row>
      <xdr:rowOff>160920</xdr:rowOff>
    </xdr:from>
    <xdr:to>
      <xdr:col>41</xdr:col>
      <xdr:colOff>255960</xdr:colOff>
      <xdr:row>365</xdr:row>
      <xdr:rowOff>13320</xdr:rowOff>
    </xdr:to>
    <xdr:graphicFrame>
      <xdr:nvGraphicFramePr>
        <xdr:cNvPr id="32" name="Chart 18"/>
        <xdr:cNvGraphicFramePr/>
      </xdr:nvGraphicFramePr>
      <xdr:xfrm>
        <a:off x="20524320" y="6819912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12</xdr:col>
      <xdr:colOff>0</xdr:colOff>
      <xdr:row>394</xdr:row>
      <xdr:rowOff>160560</xdr:rowOff>
    </xdr:from>
    <xdr:to>
      <xdr:col>21</xdr:col>
      <xdr:colOff>255960</xdr:colOff>
      <xdr:row>407</xdr:row>
      <xdr:rowOff>13320</xdr:rowOff>
    </xdr:to>
    <xdr:graphicFrame>
      <xdr:nvGraphicFramePr>
        <xdr:cNvPr id="33" name="Chart 19"/>
        <xdr:cNvGraphicFramePr/>
      </xdr:nvGraphicFramePr>
      <xdr:xfrm>
        <a:off x="8294400" y="7639056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22</xdr:col>
      <xdr:colOff>0</xdr:colOff>
      <xdr:row>394</xdr:row>
      <xdr:rowOff>160560</xdr:rowOff>
    </xdr:from>
    <xdr:to>
      <xdr:col>31</xdr:col>
      <xdr:colOff>255960</xdr:colOff>
      <xdr:row>407</xdr:row>
      <xdr:rowOff>13320</xdr:rowOff>
    </xdr:to>
    <xdr:graphicFrame>
      <xdr:nvGraphicFramePr>
        <xdr:cNvPr id="34" name="Chart 20"/>
        <xdr:cNvGraphicFramePr/>
      </xdr:nvGraphicFramePr>
      <xdr:xfrm>
        <a:off x="14409360" y="7639056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32</xdr:col>
      <xdr:colOff>0</xdr:colOff>
      <xdr:row>394</xdr:row>
      <xdr:rowOff>160560</xdr:rowOff>
    </xdr:from>
    <xdr:to>
      <xdr:col>41</xdr:col>
      <xdr:colOff>255960</xdr:colOff>
      <xdr:row>407</xdr:row>
      <xdr:rowOff>13320</xdr:rowOff>
    </xdr:to>
    <xdr:graphicFrame>
      <xdr:nvGraphicFramePr>
        <xdr:cNvPr id="35" name="Chart 21"/>
        <xdr:cNvGraphicFramePr/>
      </xdr:nvGraphicFramePr>
      <xdr:xfrm>
        <a:off x="20524320" y="7639056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12</xdr:col>
      <xdr:colOff>0</xdr:colOff>
      <xdr:row>444</xdr:row>
      <xdr:rowOff>160560</xdr:rowOff>
    </xdr:from>
    <xdr:to>
      <xdr:col>21</xdr:col>
      <xdr:colOff>255960</xdr:colOff>
      <xdr:row>457</xdr:row>
      <xdr:rowOff>13320</xdr:rowOff>
    </xdr:to>
    <xdr:graphicFrame>
      <xdr:nvGraphicFramePr>
        <xdr:cNvPr id="36" name="Chart 22"/>
        <xdr:cNvGraphicFramePr/>
      </xdr:nvGraphicFramePr>
      <xdr:xfrm>
        <a:off x="8294400" y="861058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22</xdr:col>
      <xdr:colOff>0</xdr:colOff>
      <xdr:row>444</xdr:row>
      <xdr:rowOff>160560</xdr:rowOff>
    </xdr:from>
    <xdr:to>
      <xdr:col>31</xdr:col>
      <xdr:colOff>255960</xdr:colOff>
      <xdr:row>457</xdr:row>
      <xdr:rowOff>13320</xdr:rowOff>
    </xdr:to>
    <xdr:graphicFrame>
      <xdr:nvGraphicFramePr>
        <xdr:cNvPr id="37" name="Chart 23"/>
        <xdr:cNvGraphicFramePr/>
      </xdr:nvGraphicFramePr>
      <xdr:xfrm>
        <a:off x="14409360" y="861058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32</xdr:col>
      <xdr:colOff>0</xdr:colOff>
      <xdr:row>444</xdr:row>
      <xdr:rowOff>160560</xdr:rowOff>
    </xdr:from>
    <xdr:to>
      <xdr:col>41</xdr:col>
      <xdr:colOff>255960</xdr:colOff>
      <xdr:row>457</xdr:row>
      <xdr:rowOff>13320</xdr:rowOff>
    </xdr:to>
    <xdr:graphicFrame>
      <xdr:nvGraphicFramePr>
        <xdr:cNvPr id="38" name="Chart 24"/>
        <xdr:cNvGraphicFramePr/>
      </xdr:nvGraphicFramePr>
      <xdr:xfrm>
        <a:off x="20524320" y="861058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12</xdr:col>
      <xdr:colOff>0</xdr:colOff>
      <xdr:row>486</xdr:row>
      <xdr:rowOff>160920</xdr:rowOff>
    </xdr:from>
    <xdr:to>
      <xdr:col>21</xdr:col>
      <xdr:colOff>255960</xdr:colOff>
      <xdr:row>499</xdr:row>
      <xdr:rowOff>13320</xdr:rowOff>
    </xdr:to>
    <xdr:graphicFrame>
      <xdr:nvGraphicFramePr>
        <xdr:cNvPr id="39" name="Chart 25"/>
        <xdr:cNvGraphicFramePr/>
      </xdr:nvGraphicFramePr>
      <xdr:xfrm>
        <a:off x="8294400" y="942976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22</xdr:col>
      <xdr:colOff>0</xdr:colOff>
      <xdr:row>486</xdr:row>
      <xdr:rowOff>160920</xdr:rowOff>
    </xdr:from>
    <xdr:to>
      <xdr:col>31</xdr:col>
      <xdr:colOff>255960</xdr:colOff>
      <xdr:row>499</xdr:row>
      <xdr:rowOff>13320</xdr:rowOff>
    </xdr:to>
    <xdr:graphicFrame>
      <xdr:nvGraphicFramePr>
        <xdr:cNvPr id="40" name="Chart 26"/>
        <xdr:cNvGraphicFramePr/>
      </xdr:nvGraphicFramePr>
      <xdr:xfrm>
        <a:off x="14409360" y="942976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32</xdr:col>
      <xdr:colOff>0</xdr:colOff>
      <xdr:row>486</xdr:row>
      <xdr:rowOff>160920</xdr:rowOff>
    </xdr:from>
    <xdr:to>
      <xdr:col>41</xdr:col>
      <xdr:colOff>255960</xdr:colOff>
      <xdr:row>499</xdr:row>
      <xdr:rowOff>13320</xdr:rowOff>
    </xdr:to>
    <xdr:graphicFrame>
      <xdr:nvGraphicFramePr>
        <xdr:cNvPr id="41" name="Chart 27"/>
        <xdr:cNvGraphicFramePr/>
      </xdr:nvGraphicFramePr>
      <xdr:xfrm>
        <a:off x="20524320" y="942976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12</xdr:col>
      <xdr:colOff>0</xdr:colOff>
      <xdr:row>513</xdr:row>
      <xdr:rowOff>160560</xdr:rowOff>
    </xdr:from>
    <xdr:to>
      <xdr:col>21</xdr:col>
      <xdr:colOff>255960</xdr:colOff>
      <xdr:row>526</xdr:row>
      <xdr:rowOff>13320</xdr:rowOff>
    </xdr:to>
    <xdr:graphicFrame>
      <xdr:nvGraphicFramePr>
        <xdr:cNvPr id="42" name="Chart 28"/>
        <xdr:cNvGraphicFramePr/>
      </xdr:nvGraphicFramePr>
      <xdr:xfrm>
        <a:off x="8294400" y="9963144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22</xdr:col>
      <xdr:colOff>0</xdr:colOff>
      <xdr:row>513</xdr:row>
      <xdr:rowOff>160560</xdr:rowOff>
    </xdr:from>
    <xdr:to>
      <xdr:col>31</xdr:col>
      <xdr:colOff>255960</xdr:colOff>
      <xdr:row>526</xdr:row>
      <xdr:rowOff>13320</xdr:rowOff>
    </xdr:to>
    <xdr:graphicFrame>
      <xdr:nvGraphicFramePr>
        <xdr:cNvPr id="43" name="Chart 29"/>
        <xdr:cNvGraphicFramePr/>
      </xdr:nvGraphicFramePr>
      <xdr:xfrm>
        <a:off x="14409360" y="9963144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32</xdr:col>
      <xdr:colOff>0</xdr:colOff>
      <xdr:row>513</xdr:row>
      <xdr:rowOff>160560</xdr:rowOff>
    </xdr:from>
    <xdr:to>
      <xdr:col>41</xdr:col>
      <xdr:colOff>255960</xdr:colOff>
      <xdr:row>526</xdr:row>
      <xdr:rowOff>13320</xdr:rowOff>
    </xdr:to>
    <xdr:graphicFrame>
      <xdr:nvGraphicFramePr>
        <xdr:cNvPr id="44" name="Chart 30"/>
        <xdr:cNvGraphicFramePr/>
      </xdr:nvGraphicFramePr>
      <xdr:xfrm>
        <a:off x="20524320" y="9963144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12</xdr:col>
      <xdr:colOff>0</xdr:colOff>
      <xdr:row>693</xdr:row>
      <xdr:rowOff>160560</xdr:rowOff>
    </xdr:from>
    <xdr:to>
      <xdr:col>21</xdr:col>
      <xdr:colOff>255960</xdr:colOff>
      <xdr:row>706</xdr:row>
      <xdr:rowOff>13320</xdr:rowOff>
    </xdr:to>
    <xdr:graphicFrame>
      <xdr:nvGraphicFramePr>
        <xdr:cNvPr id="45" name="Chart 31"/>
        <xdr:cNvGraphicFramePr/>
      </xdr:nvGraphicFramePr>
      <xdr:xfrm>
        <a:off x="8294400" y="1341118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22</xdr:col>
      <xdr:colOff>0</xdr:colOff>
      <xdr:row>693</xdr:row>
      <xdr:rowOff>160560</xdr:rowOff>
    </xdr:from>
    <xdr:to>
      <xdr:col>31</xdr:col>
      <xdr:colOff>255960</xdr:colOff>
      <xdr:row>706</xdr:row>
      <xdr:rowOff>13320</xdr:rowOff>
    </xdr:to>
    <xdr:graphicFrame>
      <xdr:nvGraphicFramePr>
        <xdr:cNvPr id="46" name="Chart 32"/>
        <xdr:cNvGraphicFramePr/>
      </xdr:nvGraphicFramePr>
      <xdr:xfrm>
        <a:off x="14409360" y="1341118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32</xdr:col>
      <xdr:colOff>0</xdr:colOff>
      <xdr:row>693</xdr:row>
      <xdr:rowOff>160560</xdr:rowOff>
    </xdr:from>
    <xdr:to>
      <xdr:col>41</xdr:col>
      <xdr:colOff>255960</xdr:colOff>
      <xdr:row>706</xdr:row>
      <xdr:rowOff>13320</xdr:rowOff>
    </xdr:to>
    <xdr:graphicFrame>
      <xdr:nvGraphicFramePr>
        <xdr:cNvPr id="47" name="Chart 33"/>
        <xdr:cNvGraphicFramePr/>
      </xdr:nvGraphicFramePr>
      <xdr:xfrm>
        <a:off x="20524320" y="1341118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12</xdr:col>
      <xdr:colOff>0</xdr:colOff>
      <xdr:row>732</xdr:row>
      <xdr:rowOff>160560</xdr:rowOff>
    </xdr:from>
    <xdr:to>
      <xdr:col>21</xdr:col>
      <xdr:colOff>255960</xdr:colOff>
      <xdr:row>745</xdr:row>
      <xdr:rowOff>13320</xdr:rowOff>
    </xdr:to>
    <xdr:graphicFrame>
      <xdr:nvGraphicFramePr>
        <xdr:cNvPr id="48" name="Chart 34"/>
        <xdr:cNvGraphicFramePr/>
      </xdr:nvGraphicFramePr>
      <xdr:xfrm>
        <a:off x="8294400" y="14173200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22</xdr:col>
      <xdr:colOff>0</xdr:colOff>
      <xdr:row>732</xdr:row>
      <xdr:rowOff>160560</xdr:rowOff>
    </xdr:from>
    <xdr:to>
      <xdr:col>31</xdr:col>
      <xdr:colOff>255960</xdr:colOff>
      <xdr:row>745</xdr:row>
      <xdr:rowOff>13320</xdr:rowOff>
    </xdr:to>
    <xdr:graphicFrame>
      <xdr:nvGraphicFramePr>
        <xdr:cNvPr id="49" name="Chart 35"/>
        <xdr:cNvGraphicFramePr/>
      </xdr:nvGraphicFramePr>
      <xdr:xfrm>
        <a:off x="14409360" y="14173200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32</xdr:col>
      <xdr:colOff>0</xdr:colOff>
      <xdr:row>732</xdr:row>
      <xdr:rowOff>160560</xdr:rowOff>
    </xdr:from>
    <xdr:to>
      <xdr:col>41</xdr:col>
      <xdr:colOff>255960</xdr:colOff>
      <xdr:row>745</xdr:row>
      <xdr:rowOff>13320</xdr:rowOff>
    </xdr:to>
    <xdr:graphicFrame>
      <xdr:nvGraphicFramePr>
        <xdr:cNvPr id="50" name="Chart 36"/>
        <xdr:cNvGraphicFramePr/>
      </xdr:nvGraphicFramePr>
      <xdr:xfrm>
        <a:off x="20524320" y="14173200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160920</xdr:rowOff>
    </xdr:from>
    <xdr:to>
      <xdr:col>21</xdr:col>
      <xdr:colOff>364680</xdr:colOff>
      <xdr:row>17</xdr:row>
      <xdr:rowOff>162000</xdr:rowOff>
    </xdr:to>
    <xdr:graphicFrame>
      <xdr:nvGraphicFramePr>
        <xdr:cNvPr id="51" name="Chart 1"/>
        <xdr:cNvGraphicFramePr/>
      </xdr:nvGraphicFramePr>
      <xdr:xfrm>
        <a:off x="1012716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7" min="5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5" t="n">
        <f aca="false">COUNTIF('Интеграционные тесты'!$C:$C,A6)</f>
        <v>7</v>
      </c>
      <c r="C6" s="5" t="n">
        <f aca="false">COUNTIFS('Интеграционные тесты'!$C:$C,A6,'Интеграционные тесты'!$H:$H,"PASS")</f>
        <v>5</v>
      </c>
      <c r="D6" s="5" t="n">
        <f aca="false">COUNTIFS('Интеграционные тесты'!$C:$C,A6,'Интеграционные тесты'!$H:$H,"FAIL")</f>
        <v>2</v>
      </c>
      <c r="E6" s="6" t="n">
        <f aca="false">IF(B6=0,0,C6/B6)</f>
        <v>0.714285714285714</v>
      </c>
    </row>
    <row r="7" customFormat="false" ht="15" hidden="false" customHeight="false" outlineLevel="0" collapsed="false">
      <c r="A7" s="5" t="s">
        <v>9</v>
      </c>
      <c r="B7" s="5" t="n">
        <f aca="false">COUNTIF('Интеграционные тесты'!$C:$C,A7)</f>
        <v>11</v>
      </c>
      <c r="C7" s="5" t="n">
        <f aca="false">COUNTIFS('Интеграционные тесты'!$C:$C,A7,'Интеграционные тесты'!$H:$H,"PASS")</f>
        <v>4</v>
      </c>
      <c r="D7" s="5" t="n">
        <f aca="false">COUNTIFS('Интеграционные тесты'!$C:$C,A7,'Интеграционные тесты'!$H:$H,"FAIL")</f>
        <v>7</v>
      </c>
      <c r="E7" s="6" t="n">
        <f aca="false">IF(B7=0,0,C7/B7)</f>
        <v>0.363636363636364</v>
      </c>
    </row>
    <row r="8" customFormat="false" ht="15" hidden="false" customHeight="false" outlineLevel="0" collapsed="false">
      <c r="A8" s="5" t="s">
        <v>10</v>
      </c>
      <c r="B8" s="5" t="n">
        <f aca="false">COUNTIF('Интеграционные тесты'!$C:$C,A8)</f>
        <v>5</v>
      </c>
      <c r="C8" s="5" t="n">
        <f aca="false">COUNTIFS('Интеграционные тесты'!$C:$C,A8,'Интеграционные тесты'!$H:$H,"PASS")</f>
        <v>2</v>
      </c>
      <c r="D8" s="5" t="n">
        <f aca="false">COUNTIFS('Интеграционные тесты'!$C:$C,A8,'Интеграционные тесты'!$H:$H,"FAIL")</f>
        <v>3</v>
      </c>
      <c r="E8" s="6" t="n">
        <f aca="false">IF(B8=0,0,C8/B8)</f>
        <v>0.4</v>
      </c>
    </row>
    <row r="9" customFormat="false" ht="15" hidden="false" customHeight="false" outlineLevel="0" collapsed="false">
      <c r="A9" s="5" t="s">
        <v>11</v>
      </c>
      <c r="B9" s="5" t="n">
        <f aca="false">COUNTIF('Интеграционные тесты'!$C:$C,A9)</f>
        <v>5</v>
      </c>
      <c r="C9" s="5" t="n">
        <f aca="false">COUNTIFS('Интеграционные тесты'!$C:$C,A9,'Интеграционные тесты'!$H:$H,"PASS")</f>
        <v>4</v>
      </c>
      <c r="D9" s="5" t="n">
        <f aca="false">COUNTIFS('Интеграционные тесты'!$C:$C,A9,'Интеграционные тесты'!$H:$H,"FAIL")</f>
        <v>1</v>
      </c>
      <c r="E9" s="6" t="n">
        <f aca="false">IF(B9=0,0,C9/B9)</f>
        <v>0.8</v>
      </c>
    </row>
    <row r="10" customFormat="false" ht="15" hidden="false" customHeight="false" outlineLevel="0" collapsed="false">
      <c r="A10" s="5" t="s">
        <v>12</v>
      </c>
      <c r="B10" s="5" t="n">
        <f aca="false">COUNTIF('Интеграционные тесты'!$C:$C,A10)</f>
        <v>12</v>
      </c>
      <c r="C10" s="5" t="n">
        <f aca="false">COUNTIFS('Интеграционные тесты'!$C:$C,A10,'Интеграционные тесты'!$H:$H,"PASS")</f>
        <v>8</v>
      </c>
      <c r="D10" s="5" t="n">
        <f aca="false">COUNTIFS('Интеграционные тесты'!$C:$C,A10,'Интеграционные тесты'!$H:$H,"FAIL")</f>
        <v>4</v>
      </c>
      <c r="E10" s="6" t="n">
        <f aca="false">IF(B10=0,0,C10/B10)</f>
        <v>0.666666666666667</v>
      </c>
    </row>
    <row r="11" customFormat="false" ht="15" hidden="false" customHeight="false" outlineLevel="0" collapsed="false">
      <c r="A11" s="5" t="s">
        <v>13</v>
      </c>
      <c r="B11" s="5" t="n">
        <f aca="false">COUNTIF('Интеграционные тесты'!$C:$C,A11)</f>
        <v>3</v>
      </c>
      <c r="C11" s="5" t="n">
        <f aca="false">COUNTIFS('Интеграционные тесты'!$C:$C,A11,'Интеграционные тесты'!$H:$H,"PASS")</f>
        <v>2</v>
      </c>
      <c r="D11" s="5" t="n">
        <f aca="false">COUNTIFS('Интеграционные тесты'!$C:$C,A11,'Интеграционные тесты'!$H:$H,"FAIL")</f>
        <v>1</v>
      </c>
      <c r="E11" s="6" t="n">
        <f aca="false">IF(B11=0,0,C11/B11)</f>
        <v>0.666666666666667</v>
      </c>
    </row>
    <row r="12" customFormat="false" ht="15" hidden="false" customHeight="false" outlineLevel="0" collapsed="false">
      <c r="A12" s="5" t="s">
        <v>14</v>
      </c>
      <c r="B12" s="5" t="n">
        <f aca="false">COUNTIF('Интеграционные тесты'!$C:$C,A12)</f>
        <v>4</v>
      </c>
      <c r="C12" s="5" t="n">
        <f aca="false">COUNTIFS('Интеграционные тесты'!$C:$C,A12,'Интеграционные тесты'!$H:$H,"PASS")</f>
        <v>2</v>
      </c>
      <c r="D12" s="5" t="n">
        <f aca="false">COUNTIFS('Интеграционные тесты'!$C:$C,A12,'Интеграционные тесты'!$H:$H,"FAIL")</f>
        <v>2</v>
      </c>
      <c r="E12" s="6" t="n">
        <f aca="false">IF(B12=0,0,C12/B12)</f>
        <v>0.5</v>
      </c>
    </row>
    <row r="13" customFormat="false" ht="15" hidden="false" customHeight="false" outlineLevel="0" collapsed="false">
      <c r="A13" s="5" t="s">
        <v>15</v>
      </c>
      <c r="B13" s="5" t="n">
        <f aca="false">COUNTIF('Интеграционные тесты'!$C:$C,A13)</f>
        <v>9</v>
      </c>
      <c r="C13" s="5" t="n">
        <f aca="false">COUNTIFS('Интеграционные тесты'!$C:$C,A13,'Интеграционные тесты'!$H:$H,"PASS")</f>
        <v>7</v>
      </c>
      <c r="D13" s="5" t="n">
        <f aca="false">COUNTIFS('Интеграционные тесты'!$C:$C,A13,'Интеграционные тесты'!$H:$H,"FAIL")</f>
        <v>2</v>
      </c>
      <c r="E13" s="6" t="n">
        <f aca="false">IF(B13=0,0,C13/B13)</f>
        <v>0.777777777777778</v>
      </c>
    </row>
    <row r="14" customFormat="false" ht="15" hidden="false" customHeight="false" outlineLevel="0" collapsed="false">
      <c r="A14" s="7" t="s">
        <v>16</v>
      </c>
      <c r="B14" s="7" t="n">
        <f aca="false">SUM(B6:B13)</f>
        <v>56</v>
      </c>
      <c r="C14" s="7" t="n">
        <f aca="false">SUM(C6:C13)</f>
        <v>34</v>
      </c>
      <c r="D14" s="7" t="n">
        <f aca="false">SUM(D6:D13)</f>
        <v>22</v>
      </c>
      <c r="E14" s="8" t="n">
        <f aca="false">IF(B14=0,0,C14/B14)</f>
        <v>0.607142857142857</v>
      </c>
    </row>
    <row r="16" customFormat="false" ht="15" hidden="false" customHeight="false" outlineLevel="0" collapsed="false">
      <c r="A16" s="3" t="s">
        <v>17</v>
      </c>
    </row>
    <row r="17" customFormat="false" ht="30" hidden="false" customHeight="true" outlineLevel="0" collapsed="false">
      <c r="A17" s="4" t="s">
        <v>18</v>
      </c>
      <c r="B17" s="4" t="s">
        <v>19</v>
      </c>
    </row>
    <row r="18" customFormat="false" ht="15" hidden="false" customHeight="false" outlineLevel="0" collapsed="false">
      <c r="A18" s="9" t="s">
        <v>20</v>
      </c>
      <c r="B18" s="5" t="n">
        <f aca="false">COUNTIF(Дефекты!$B:$B,A18)</f>
        <v>1</v>
      </c>
    </row>
    <row r="19" customFormat="false" ht="15" hidden="false" customHeight="false" outlineLevel="0" collapsed="false">
      <c r="A19" s="10" t="s">
        <v>21</v>
      </c>
      <c r="B19" s="5" t="n">
        <f aca="false">COUNTIF(Дефекты!$B:$B,A19)</f>
        <v>4</v>
      </c>
    </row>
    <row r="20" customFormat="false" ht="15" hidden="false" customHeight="false" outlineLevel="0" collapsed="false">
      <c r="A20" s="11" t="s">
        <v>22</v>
      </c>
      <c r="B20" s="5" t="n">
        <f aca="false">COUNTIF(Дефекты!$B:$B,A20)</f>
        <v>9</v>
      </c>
    </row>
    <row r="21" customFormat="false" ht="15" hidden="false" customHeight="false" outlineLevel="0" collapsed="false">
      <c r="A21" s="12" t="s">
        <v>23</v>
      </c>
      <c r="B21" s="5" t="n">
        <f aca="false">COUNTIF(Дефекты!$B:$B,A21)</f>
        <v>8</v>
      </c>
    </row>
    <row r="22" customFormat="false" ht="15" hidden="false" customHeight="false" outlineLevel="0" collapsed="false">
      <c r="A22" s="7" t="s">
        <v>4</v>
      </c>
      <c r="B22" s="7" t="n">
        <f aca="false">SUM(B18:B21)</f>
        <v>22</v>
      </c>
    </row>
    <row r="24" customFormat="false" ht="15" hidden="false" customHeight="false" outlineLevel="0" collapsed="false">
      <c r="A24" s="3" t="s">
        <v>24</v>
      </c>
    </row>
    <row r="25" customFormat="false" ht="30" hidden="false" customHeight="true" outlineLevel="0" collapsed="false">
      <c r="A25" s="4" t="s">
        <v>25</v>
      </c>
      <c r="B25" s="4" t="s">
        <v>26</v>
      </c>
      <c r="C25" s="4" t="s">
        <v>27</v>
      </c>
      <c r="D25" s="4" t="s">
        <v>28</v>
      </c>
      <c r="E25" s="4" t="s">
        <v>29</v>
      </c>
      <c r="F25" s="4" t="s">
        <v>30</v>
      </c>
      <c r="G25" s="4" t="s">
        <v>31</v>
      </c>
    </row>
    <row r="26" customFormat="false" ht="15" hidden="false" customHeight="false" outlineLevel="0" collapsed="false">
      <c r="A26" s="5" t="s">
        <v>32</v>
      </c>
      <c r="B26" s="13" t="n">
        <f aca="false">'Нагрузка — итоги'!D5</f>
        <v>320</v>
      </c>
      <c r="C26" s="14" t="n">
        <f aca="false">'Нагрузка — итоги'!F5</f>
        <v>5.7</v>
      </c>
      <c r="D26" s="15" t="n">
        <f aca="false">'Нагрузка — итоги'!I5</f>
        <v>0</v>
      </c>
      <c r="E26" s="14" t="n">
        <f aca="false">'Нагрузка — итоги'!N5</f>
        <v>111.47</v>
      </c>
      <c r="F26" s="14" t="n">
        <f aca="false">'Нагрузка — итоги'!O5</f>
        <v>194.49</v>
      </c>
      <c r="G26" s="16" t="str">
        <f aca="false">'Нагрузка — итоги'!AB5</f>
        <v>PASS</v>
      </c>
    </row>
    <row r="27" customFormat="false" ht="15" hidden="false" customHeight="false" outlineLevel="0" collapsed="false">
      <c r="A27" s="5" t="s">
        <v>33</v>
      </c>
      <c r="B27" s="13" t="n">
        <f aca="false">'Нагрузка — итоги'!D6</f>
        <v>7772</v>
      </c>
      <c r="C27" s="14" t="n">
        <f aca="false">'Нагрузка — итоги'!F6</f>
        <v>30.3</v>
      </c>
      <c r="D27" s="15" t="n">
        <f aca="false">'Нагрузка — итоги'!I6</f>
        <v>0</v>
      </c>
      <c r="E27" s="14" t="n">
        <f aca="false">'Нагрузка — итоги'!N6</f>
        <v>15.28</v>
      </c>
      <c r="F27" s="14" t="n">
        <f aca="false">'Нагрузка — итоги'!O6</f>
        <v>17.23</v>
      </c>
      <c r="G27" s="16" t="str">
        <f aca="false">'Нагрузка — итоги'!AB6</f>
        <v>PASS</v>
      </c>
    </row>
    <row r="28" customFormat="false" ht="23.85" hidden="false" customHeight="false" outlineLevel="0" collapsed="false">
      <c r="A28" s="5" t="s">
        <v>34</v>
      </c>
      <c r="B28" s="13" t="n">
        <f aca="false">'Нагрузка — итоги'!D7</f>
        <v>22489</v>
      </c>
      <c r="C28" s="14" t="n">
        <f aca="false">'Нагрузка — итоги'!F7</f>
        <v>60.3</v>
      </c>
      <c r="D28" s="15" t="n">
        <f aca="false">'Нагрузка — итоги'!I7</f>
        <v>0</v>
      </c>
      <c r="E28" s="14" t="n">
        <f aca="false">'Нагрузка — итоги'!N7</f>
        <v>17.52</v>
      </c>
      <c r="F28" s="14" t="n">
        <f aca="false">'Нагрузка — итоги'!O7</f>
        <v>34.41</v>
      </c>
      <c r="G28" s="16" t="str">
        <f aca="false">'Нагрузка — итоги'!AB7</f>
        <v>PASS</v>
      </c>
    </row>
    <row r="29" customFormat="false" ht="15" hidden="false" customHeight="false" outlineLevel="0" collapsed="false">
      <c r="A29" s="5" t="s">
        <v>35</v>
      </c>
      <c r="B29" s="13" t="n">
        <f aca="false">'Нагрузка — итоги'!D8</f>
        <v>176498</v>
      </c>
      <c r="C29" s="14" t="n">
        <f aca="false">'Нагрузка — итоги'!F8</f>
        <v>343.8</v>
      </c>
      <c r="D29" s="15" t="n">
        <f aca="false">'Нагрузка — итоги'!I8</f>
        <v>0</v>
      </c>
      <c r="E29" s="14" t="n">
        <f aca="false">'Нагрузка — итоги'!N8</f>
        <v>15.02</v>
      </c>
      <c r="F29" s="14" t="n">
        <f aca="false">'Нагрузка — итоги'!O8</f>
        <v>16.36</v>
      </c>
      <c r="G29" s="16" t="str">
        <f aca="false">'Нагрузка — итоги'!AB8</f>
        <v>PASS</v>
      </c>
    </row>
    <row r="30" customFormat="false" ht="15" hidden="false" customHeight="false" outlineLevel="0" collapsed="false">
      <c r="A30" s="5" t="s">
        <v>36</v>
      </c>
      <c r="B30" s="13" t="n">
        <f aca="false">'Нагрузка — итоги'!D9</f>
        <v>560700</v>
      </c>
      <c r="C30" s="14" t="n">
        <f aca="false">'Нагрузка — итоги'!F9</f>
        <v>1294.4</v>
      </c>
      <c r="D30" s="15" t="n">
        <f aca="false">'Нагрузка — итоги'!I9</f>
        <v>0</v>
      </c>
      <c r="E30" s="14" t="n">
        <f aca="false">'Нагрузка — итоги'!N9</f>
        <v>2949.46</v>
      </c>
      <c r="F30" s="14" t="n">
        <f aca="false">'Нагрузка — итоги'!O9</f>
        <v>3170.03</v>
      </c>
      <c r="G30" s="16" t="str">
        <f aca="false">'Нагрузка — итоги'!AB9</f>
        <v>FAIL</v>
      </c>
    </row>
    <row r="31" customFormat="false" ht="15" hidden="false" customHeight="false" outlineLevel="0" collapsed="false">
      <c r="A31" s="5" t="s">
        <v>37</v>
      </c>
      <c r="B31" s="13" t="n">
        <f aca="false">'Нагрузка — итоги'!D10</f>
        <v>55548</v>
      </c>
      <c r="C31" s="14" t="n">
        <f aca="false">'Нагрузка — итоги'!F10</f>
        <v>292.9</v>
      </c>
      <c r="D31" s="15" t="n">
        <f aca="false">'Нагрузка — итоги'!I10</f>
        <v>0</v>
      </c>
      <c r="E31" s="14" t="n">
        <f aca="false">'Нагрузка — итоги'!N10</f>
        <v>15.41</v>
      </c>
      <c r="F31" s="14" t="n">
        <f aca="false">'Нагрузка — итоги'!O10</f>
        <v>18.04</v>
      </c>
      <c r="G31" s="16" t="str">
        <f aca="false">'Нагрузка — итоги'!AB10</f>
        <v>PASS</v>
      </c>
    </row>
    <row r="32" customFormat="false" ht="15" hidden="false" customHeight="false" outlineLevel="0" collapsed="false">
      <c r="A32" s="5" t="s">
        <v>38</v>
      </c>
      <c r="B32" s="13" t="n">
        <f aca="false">'Нагрузка — итоги'!D11</f>
        <v>9618</v>
      </c>
      <c r="C32" s="14" t="n">
        <f aca="false">'Нагрузка — итоги'!F11</f>
        <v>42.4</v>
      </c>
      <c r="D32" s="15" t="n">
        <f aca="false">'Нагрузка — итоги'!I11</f>
        <v>0</v>
      </c>
      <c r="E32" s="14" t="n">
        <f aca="false">'Нагрузка — итоги'!N11</f>
        <v>987.93</v>
      </c>
      <c r="F32" s="14" t="n">
        <f aca="false">'Нагрузка — итоги'!O11</f>
        <v>1049.75</v>
      </c>
      <c r="G32" s="16" t="str">
        <f aca="false">'Нагрузка — итоги'!AB11</f>
        <v>PASS</v>
      </c>
    </row>
    <row r="33" customFormat="false" ht="15" hidden="false" customHeight="false" outlineLevel="0" collapsed="false">
      <c r="A33" s="5" t="s">
        <v>39</v>
      </c>
      <c r="B33" s="13" t="n">
        <f aca="false">'Нагрузка — итоги'!D12</f>
        <v>3059</v>
      </c>
      <c r="C33" s="14" t="n">
        <f aca="false">'Нагрузка — итоги'!F12</f>
        <v>16.1</v>
      </c>
      <c r="D33" s="15" t="n">
        <f aca="false">'Нагрузка — итоги'!I12</f>
        <v>0</v>
      </c>
      <c r="E33" s="14" t="n">
        <f aca="false">'Нагрузка — итоги'!N12</f>
        <v>35.72</v>
      </c>
      <c r="F33" s="14" t="n">
        <f aca="false">'Нагрузка — итоги'!O12</f>
        <v>157.34</v>
      </c>
      <c r="G33" s="16" t="str">
        <f aca="false">'Нагрузка — итоги'!AB12</f>
        <v>PASS</v>
      </c>
    </row>
    <row r="34" customFormat="false" ht="15" hidden="false" customHeight="false" outlineLevel="0" collapsed="false">
      <c r="A34" s="5" t="s">
        <v>40</v>
      </c>
      <c r="B34" s="13" t="n">
        <f aca="false">'Нагрузка — итоги'!D13</f>
        <v>2256</v>
      </c>
      <c r="C34" s="14" t="n">
        <f aca="false">'Нагрузка — итоги'!F13</f>
        <v>19.6</v>
      </c>
      <c r="D34" s="15" t="n">
        <f aca="false">'Нагрузка — итоги'!I13</f>
        <v>0</v>
      </c>
      <c r="E34" s="14" t="n">
        <f aca="false">'Нагрузка — итоги'!N13</f>
        <v>103.87</v>
      </c>
      <c r="F34" s="14" t="n">
        <f aca="false">'Нагрузка — итоги'!O13</f>
        <v>234.58</v>
      </c>
      <c r="G34" s="16" t="str">
        <f aca="false">'Нагрузка — итоги'!AB13</f>
        <v>PASS</v>
      </c>
    </row>
    <row r="35" customFormat="false" ht="15" hidden="false" customHeight="false" outlineLevel="0" collapsed="false">
      <c r="A35" s="5" t="s">
        <v>41</v>
      </c>
      <c r="B35" s="13" t="n">
        <f aca="false">'Нагрузка — итоги'!D14</f>
        <v>23230</v>
      </c>
      <c r="C35" s="14" t="n">
        <f aca="false">'Нагрузка — итоги'!F14</f>
        <v>26.4</v>
      </c>
      <c r="D35" s="15" t="n">
        <f aca="false">'Нагрузка — итоги'!I14</f>
        <v>0</v>
      </c>
      <c r="E35" s="14" t="n">
        <f aca="false">'Нагрузка — итоги'!N14</f>
        <v>18.65</v>
      </c>
      <c r="F35" s="14" t="n">
        <f aca="false">'Нагрузка — итоги'!O14</f>
        <v>73.41</v>
      </c>
      <c r="G35" s="16" t="str">
        <f aca="false">'Нагрузка — итоги'!AB14</f>
        <v>PASS</v>
      </c>
    </row>
    <row r="36" customFormat="false" ht="15" hidden="false" customHeight="false" outlineLevel="0" collapsed="false">
      <c r="A36" s="5" t="s">
        <v>42</v>
      </c>
      <c r="B36" s="13" t="n">
        <f aca="false">'Нагрузка — итоги'!D15</f>
        <v>8845</v>
      </c>
      <c r="C36" s="14" t="n">
        <f aca="false">'Нагрузка — итоги'!F15</f>
        <v>51.5</v>
      </c>
      <c r="D36" s="15" t="n">
        <f aca="false">'Нагрузка — итоги'!I15</f>
        <v>0</v>
      </c>
      <c r="E36" s="14" t="n">
        <f aca="false">'Нагрузка — итоги'!N15</f>
        <v>9.19</v>
      </c>
      <c r="F36" s="14" t="n">
        <f aca="false">'Нагрузка — итоги'!O15</f>
        <v>10.31</v>
      </c>
      <c r="G36" s="16" t="str">
        <f aca="false">'Нагрузка — итоги'!AB15</f>
        <v>PASS</v>
      </c>
    </row>
    <row r="37" customFormat="false" ht="15" hidden="false" customHeight="false" outlineLevel="0" collapsed="false">
      <c r="A37" s="5" t="s">
        <v>43</v>
      </c>
      <c r="B37" s="13" t="n">
        <f aca="false">'Нагрузка — итоги'!D16</f>
        <v>8815</v>
      </c>
      <c r="C37" s="14" t="n">
        <f aca="false">'Нагрузка — итоги'!F16</f>
        <v>50.9</v>
      </c>
      <c r="D37" s="15" t="n">
        <f aca="false">'Нагрузка — итоги'!I16</f>
        <v>0</v>
      </c>
      <c r="E37" s="14" t="n">
        <f aca="false">'Нагрузка — итоги'!N16</f>
        <v>27.71</v>
      </c>
      <c r="F37" s="14" t="n">
        <f aca="false">'Нагрузка — итоги'!O16</f>
        <v>31.82</v>
      </c>
      <c r="G37" s="16" t="str">
        <f aca="false">'Нагрузка — итоги'!AB16</f>
        <v>PASS</v>
      </c>
    </row>
    <row r="39" customFormat="false" ht="15" hidden="false" customHeight="false" outlineLevel="0" collapsed="false">
      <c r="A39" s="3" t="s">
        <v>44</v>
      </c>
    </row>
    <row r="40" customFormat="false" ht="60" hidden="false" customHeight="true" outlineLevel="0" collapsed="false">
      <c r="A40" s="17" t="s">
        <v>45</v>
      </c>
      <c r="B40" s="17"/>
      <c r="C40" s="17"/>
      <c r="D40" s="17"/>
      <c r="E40" s="17"/>
      <c r="F40" s="17"/>
      <c r="G40" s="17"/>
    </row>
    <row r="41" customFormat="false" ht="45" hidden="false" customHeight="true" outlineLevel="0" collapsed="false">
      <c r="A41" s="17" t="s">
        <v>46</v>
      </c>
      <c r="B41" s="17"/>
      <c r="C41" s="17"/>
      <c r="D41" s="17"/>
      <c r="E41" s="17"/>
      <c r="F41" s="17"/>
      <c r="G41" s="17"/>
    </row>
    <row r="42" customFormat="false" ht="45" hidden="false" customHeight="true" outlineLevel="0" collapsed="false">
      <c r="A42" s="17" t="s">
        <v>47</v>
      </c>
      <c r="B42" s="17"/>
      <c r="C42" s="17"/>
      <c r="D42" s="17"/>
      <c r="E42" s="17"/>
      <c r="F42" s="17"/>
      <c r="G42" s="17"/>
    </row>
    <row r="43" customFormat="false" ht="30" hidden="false" customHeight="true" outlineLevel="0" collapsed="false">
      <c r="A43" s="17" t="s">
        <v>48</v>
      </c>
      <c r="B43" s="17"/>
      <c r="C43" s="17"/>
      <c r="D43" s="17"/>
      <c r="E43" s="17"/>
      <c r="F43" s="17"/>
      <c r="G43" s="17"/>
    </row>
    <row r="44" customFormat="false" ht="30" hidden="false" customHeight="true" outlineLevel="0" collapsed="false">
      <c r="A44" s="17" t="s">
        <v>49</v>
      </c>
      <c r="B44" s="17"/>
      <c r="C44" s="17"/>
      <c r="D44" s="17"/>
      <c r="E44" s="17"/>
      <c r="F44" s="17"/>
      <c r="G44" s="17"/>
    </row>
    <row r="45" customFormat="false" ht="30" hidden="false" customHeight="true" outlineLevel="0" collapsed="false">
      <c r="A45" s="17" t="s">
        <v>50</v>
      </c>
      <c r="B45" s="17"/>
      <c r="C45" s="17"/>
      <c r="D45" s="17"/>
      <c r="E45" s="17"/>
      <c r="F45" s="17"/>
      <c r="G45" s="17"/>
    </row>
    <row r="46" customFormat="false" ht="30" hidden="false" customHeight="true" outlineLevel="0" collapsed="false">
      <c r="A46" s="17" t="s">
        <v>51</v>
      </c>
      <c r="B46" s="17"/>
      <c r="C46" s="17"/>
      <c r="D46" s="17"/>
      <c r="E46" s="17"/>
      <c r="F46" s="17"/>
      <c r="G46" s="17"/>
    </row>
    <row r="47" customFormat="false" ht="30" hidden="false" customHeight="true" outlineLevel="0" collapsed="false">
      <c r="A47" s="17" t="s">
        <v>52</v>
      </c>
      <c r="B47" s="17"/>
      <c r="C47" s="17"/>
      <c r="D47" s="17"/>
      <c r="E47" s="17"/>
      <c r="F47" s="17"/>
      <c r="G47" s="17"/>
    </row>
    <row r="48" customFormat="false" ht="30" hidden="false" customHeight="true" outlineLevel="0" collapsed="false">
      <c r="A48" s="17" t="s">
        <v>53</v>
      </c>
      <c r="B48" s="17"/>
      <c r="C48" s="17"/>
      <c r="D48" s="17"/>
      <c r="E48" s="17"/>
      <c r="F48" s="17"/>
      <c r="G48" s="17"/>
    </row>
    <row r="49" customFormat="false" ht="60" hidden="false" customHeight="true" outlineLevel="0" collapsed="false">
      <c r="A49" s="17" t="s">
        <v>54</v>
      </c>
      <c r="B49" s="17"/>
      <c r="C49" s="17"/>
      <c r="D49" s="17"/>
      <c r="E49" s="17"/>
      <c r="F49" s="17"/>
      <c r="G49" s="17"/>
    </row>
  </sheetData>
  <mergeCells count="10">
    <mergeCell ref="A40:G40"/>
    <mergeCell ref="A41:G41"/>
    <mergeCell ref="A42:G42"/>
    <mergeCell ref="A43:G43"/>
    <mergeCell ref="A44:G44"/>
    <mergeCell ref="A45:G45"/>
    <mergeCell ref="A46:G46"/>
    <mergeCell ref="A47:G47"/>
    <mergeCell ref="A48:G48"/>
    <mergeCell ref="A49:G49"/>
  </mergeCells>
  <conditionalFormatting sqref="G26:G38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"SKIP"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55</v>
      </c>
    </row>
    <row r="3" customFormat="false" ht="15" hidden="false" customHeight="false" outlineLevel="0" collapsed="false">
      <c r="A3" s="3" t="s">
        <v>56</v>
      </c>
    </row>
    <row r="4" customFormat="false" ht="15" hidden="false" customHeight="false" outlineLevel="0" collapsed="false">
      <c r="A4" s="5" t="s">
        <v>57</v>
      </c>
      <c r="B4" s="5" t="s">
        <v>58</v>
      </c>
    </row>
    <row r="5" customFormat="false" ht="15" hidden="false" customHeight="false" outlineLevel="0" collapsed="false">
      <c r="A5" s="5" t="s">
        <v>59</v>
      </c>
      <c r="B5" s="5" t="s">
        <v>60</v>
      </c>
    </row>
    <row r="6" customFormat="false" ht="15" hidden="false" customHeight="false" outlineLevel="0" collapsed="false">
      <c r="A6" s="5" t="s">
        <v>61</v>
      </c>
      <c r="B6" s="5" t="s">
        <v>62</v>
      </c>
    </row>
    <row r="7" customFormat="false" ht="15" hidden="false" customHeight="false" outlineLevel="0" collapsed="false">
      <c r="A7" s="5" t="s">
        <v>63</v>
      </c>
      <c r="B7" s="5" t="s">
        <v>64</v>
      </c>
    </row>
    <row r="9" customFormat="false" ht="15" hidden="false" customHeight="false" outlineLevel="0" collapsed="false">
      <c r="A9" s="3" t="s">
        <v>65</v>
      </c>
    </row>
    <row r="10" customFormat="false" ht="15" hidden="false" customHeight="false" outlineLevel="0" collapsed="false">
      <c r="A10" s="5" t="s">
        <v>66</v>
      </c>
      <c r="B10" s="5" t="s">
        <v>67</v>
      </c>
    </row>
    <row r="11" customFormat="false" ht="23.85" hidden="false" customHeight="false" outlineLevel="0" collapsed="false">
      <c r="A11" s="5" t="s">
        <v>68</v>
      </c>
      <c r="B11" s="5" t="s">
        <v>69</v>
      </c>
    </row>
    <row r="12" customFormat="false" ht="15" hidden="false" customHeight="false" outlineLevel="0" collapsed="false">
      <c r="A12" s="5" t="s">
        <v>70</v>
      </c>
      <c r="B12" s="5" t="s">
        <v>71</v>
      </c>
    </row>
    <row r="13" customFormat="false" ht="15" hidden="false" customHeight="false" outlineLevel="0" collapsed="false">
      <c r="A13" s="5" t="s">
        <v>72</v>
      </c>
      <c r="B13" s="5" t="s">
        <v>73</v>
      </c>
    </row>
    <row r="14" customFormat="false" ht="15" hidden="false" customHeight="false" outlineLevel="0" collapsed="false">
      <c r="A14" s="5" t="s">
        <v>74</v>
      </c>
      <c r="B14" s="5" t="s">
        <v>75</v>
      </c>
    </row>
    <row r="15" customFormat="false" ht="15" hidden="false" customHeight="false" outlineLevel="0" collapsed="false">
      <c r="A15" s="5" t="s">
        <v>76</v>
      </c>
      <c r="B15" s="5" t="s">
        <v>77</v>
      </c>
    </row>
    <row r="16" customFormat="false" ht="15" hidden="false" customHeight="false" outlineLevel="0" collapsed="false">
      <c r="A16" s="5" t="s">
        <v>78</v>
      </c>
      <c r="B16" s="5" t="s">
        <v>79</v>
      </c>
    </row>
    <row r="18" customFormat="false" ht="15" hidden="false" customHeight="false" outlineLevel="0" collapsed="false">
      <c r="A18" s="3" t="s">
        <v>80</v>
      </c>
    </row>
    <row r="19" customFormat="false" ht="23.85" hidden="false" customHeight="false" outlineLevel="0" collapsed="false">
      <c r="A19" s="5" t="s">
        <v>81</v>
      </c>
      <c r="B19" s="5" t="s">
        <v>82</v>
      </c>
    </row>
    <row r="20" customFormat="false" ht="15" hidden="false" customHeight="false" outlineLevel="0" collapsed="false">
      <c r="A20" s="5" t="s">
        <v>83</v>
      </c>
      <c r="B20" s="5" t="s">
        <v>84</v>
      </c>
    </row>
    <row r="21" customFormat="false" ht="23.85" hidden="false" customHeight="false" outlineLevel="0" collapsed="false">
      <c r="A21" s="5" t="s">
        <v>85</v>
      </c>
      <c r="B21" s="5" t="s">
        <v>86</v>
      </c>
    </row>
    <row r="22" customFormat="false" ht="23.85" hidden="false" customHeight="false" outlineLevel="0" collapsed="false">
      <c r="A22" s="5" t="s">
        <v>87</v>
      </c>
      <c r="B22" s="5" t="s">
        <v>88</v>
      </c>
    </row>
    <row r="23" customFormat="false" ht="23.85" hidden="false" customHeight="false" outlineLevel="0" collapsed="false">
      <c r="A23" s="5" t="s">
        <v>89</v>
      </c>
      <c r="B23" s="5" t="s">
        <v>90</v>
      </c>
    </row>
    <row r="25" customFormat="false" ht="15" hidden="false" customHeight="false" outlineLevel="0" collapsed="false">
      <c r="A25" s="3" t="s">
        <v>91</v>
      </c>
    </row>
    <row r="26" customFormat="false" ht="35.05" hidden="false" customHeight="false" outlineLevel="0" collapsed="false">
      <c r="A26" s="5" t="s">
        <v>92</v>
      </c>
      <c r="B26" s="5" t="s">
        <v>93</v>
      </c>
    </row>
    <row r="27" customFormat="false" ht="35.05" hidden="false" customHeight="false" outlineLevel="0" collapsed="false">
      <c r="A27" s="5" t="s">
        <v>94</v>
      </c>
      <c r="B27" s="5" t="s">
        <v>95</v>
      </c>
    </row>
    <row r="28" customFormat="false" ht="35.05" hidden="false" customHeight="false" outlineLevel="0" collapsed="false">
      <c r="A28" s="5" t="s">
        <v>96</v>
      </c>
      <c r="B28" s="5" t="s">
        <v>97</v>
      </c>
    </row>
    <row r="29" customFormat="false" ht="35.05" hidden="false" customHeight="false" outlineLevel="0" collapsed="false">
      <c r="A29" s="5" t="s">
        <v>98</v>
      </c>
      <c r="B29" s="5" t="s">
        <v>99</v>
      </c>
    </row>
    <row r="30" customFormat="false" ht="35.05" hidden="false" customHeight="false" outlineLevel="0" collapsed="false">
      <c r="A30" s="5" t="s">
        <v>100</v>
      </c>
      <c r="B30" s="5" t="s">
        <v>101</v>
      </c>
    </row>
    <row r="31" customFormat="false" ht="23.85" hidden="false" customHeight="false" outlineLevel="0" collapsed="false">
      <c r="A31" s="5" t="s">
        <v>102</v>
      </c>
      <c r="B31" s="5" t="s">
        <v>103</v>
      </c>
    </row>
    <row r="32" customFormat="false" ht="23.85" hidden="false" customHeight="false" outlineLevel="0" collapsed="false">
      <c r="A32" s="5" t="s">
        <v>104</v>
      </c>
      <c r="B32" s="5" t="s">
        <v>105</v>
      </c>
    </row>
    <row r="33" customFormat="false" ht="23.85" hidden="false" customHeight="false" outlineLevel="0" collapsed="false">
      <c r="A33" s="5" t="s">
        <v>106</v>
      </c>
      <c r="B33" s="5" t="s">
        <v>107</v>
      </c>
    </row>
    <row r="34" customFormat="false" ht="35.05" hidden="false" customHeight="false" outlineLevel="0" collapsed="false">
      <c r="A34" s="5" t="s">
        <v>108</v>
      </c>
      <c r="B34" s="5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42"/>
    <col collapsed="false" customWidth="true" hidden="false" outlineLevel="0" max="6" min="6" style="0" width="38"/>
    <col collapsed="false" customWidth="true" hidden="false" outlineLevel="0" max="7" min="7" style="0" width="52"/>
    <col collapsed="false" customWidth="true" hidden="false" outlineLevel="0" max="9" min="8" style="0" width="9"/>
    <col collapsed="false" customWidth="true" hidden="false" outlineLevel="0" max="10" min="10" style="0" width="10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4" customFormat="false" ht="30" hidden="false" customHeight="true" outlineLevel="0" collapsed="false">
      <c r="A4" s="4" t="s">
        <v>112</v>
      </c>
      <c r="B4" s="4" t="s">
        <v>113</v>
      </c>
      <c r="C4" s="4" t="s">
        <v>3</v>
      </c>
      <c r="D4" s="4" t="s">
        <v>114</v>
      </c>
      <c r="E4" s="4" t="s">
        <v>115</v>
      </c>
      <c r="F4" s="4" t="s">
        <v>116</v>
      </c>
      <c r="G4" s="4" t="s">
        <v>117</v>
      </c>
      <c r="H4" s="4" t="s">
        <v>118</v>
      </c>
      <c r="I4" s="4" t="s">
        <v>119</v>
      </c>
      <c r="J4" s="4" t="s">
        <v>120</v>
      </c>
    </row>
    <row r="5" customFormat="false" ht="23.85" hidden="false" customHeight="false" outlineLevel="0" collapsed="false">
      <c r="A5" s="5" t="n">
        <v>1</v>
      </c>
      <c r="B5" s="5" t="s">
        <v>121</v>
      </c>
      <c r="C5" s="5" t="s">
        <v>8</v>
      </c>
      <c r="D5" s="5" t="s">
        <v>122</v>
      </c>
      <c r="E5" s="5" t="s">
        <v>123</v>
      </c>
      <c r="F5" s="5" t="s">
        <v>124</v>
      </c>
      <c r="G5" s="5" t="s">
        <v>125</v>
      </c>
      <c r="H5" s="18" t="s">
        <v>5</v>
      </c>
      <c r="I5" s="19" t="n">
        <v>0.02</v>
      </c>
      <c r="J5" s="5"/>
    </row>
    <row r="6" customFormat="false" ht="23.85" hidden="false" customHeight="false" outlineLevel="0" collapsed="false">
      <c r="A6" s="5" t="n">
        <v>2</v>
      </c>
      <c r="B6" s="5" t="s">
        <v>126</v>
      </c>
      <c r="C6" s="5" t="s">
        <v>8</v>
      </c>
      <c r="D6" s="5" t="s">
        <v>127</v>
      </c>
      <c r="E6" s="5" t="s">
        <v>128</v>
      </c>
      <c r="F6" s="5" t="s">
        <v>129</v>
      </c>
      <c r="G6" s="5" t="s">
        <v>130</v>
      </c>
      <c r="H6" s="18" t="s">
        <v>5</v>
      </c>
      <c r="I6" s="19" t="n">
        <v>0.01</v>
      </c>
      <c r="J6" s="5"/>
    </row>
    <row r="7" customFormat="false" ht="23.85" hidden="false" customHeight="false" outlineLevel="0" collapsed="false">
      <c r="A7" s="5" t="n">
        <v>3</v>
      </c>
      <c r="B7" s="5" t="s">
        <v>131</v>
      </c>
      <c r="C7" s="5" t="s">
        <v>8</v>
      </c>
      <c r="D7" s="5" t="s">
        <v>132</v>
      </c>
      <c r="E7" s="5" t="s">
        <v>133</v>
      </c>
      <c r="F7" s="5" t="s">
        <v>134</v>
      </c>
      <c r="G7" s="5" t="s">
        <v>135</v>
      </c>
      <c r="H7" s="18" t="s">
        <v>6</v>
      </c>
      <c r="I7" s="19" t="n">
        <v>0</v>
      </c>
      <c r="J7" s="5" t="s">
        <v>136</v>
      </c>
    </row>
    <row r="8" customFormat="false" ht="23.85" hidden="false" customHeight="false" outlineLevel="0" collapsed="false">
      <c r="A8" s="5" t="n">
        <v>4</v>
      </c>
      <c r="B8" s="5" t="s">
        <v>137</v>
      </c>
      <c r="C8" s="5" t="s">
        <v>8</v>
      </c>
      <c r="D8" s="5" t="s">
        <v>138</v>
      </c>
      <c r="E8" s="5" t="s">
        <v>139</v>
      </c>
      <c r="F8" s="5" t="s">
        <v>140</v>
      </c>
      <c r="G8" s="5" t="s">
        <v>141</v>
      </c>
      <c r="H8" s="18" t="s">
        <v>5</v>
      </c>
      <c r="I8" s="19" t="n">
        <v>0.02</v>
      </c>
      <c r="J8" s="5"/>
    </row>
    <row r="9" customFormat="false" ht="35.05" hidden="false" customHeight="false" outlineLevel="0" collapsed="false">
      <c r="A9" s="5" t="n">
        <v>5</v>
      </c>
      <c r="B9" s="5" t="s">
        <v>142</v>
      </c>
      <c r="C9" s="5" t="s">
        <v>8</v>
      </c>
      <c r="D9" s="5" t="s">
        <v>143</v>
      </c>
      <c r="E9" s="5" t="s">
        <v>144</v>
      </c>
      <c r="F9" s="5" t="s">
        <v>145</v>
      </c>
      <c r="G9" s="5" t="s">
        <v>146</v>
      </c>
      <c r="H9" s="18" t="s">
        <v>6</v>
      </c>
      <c r="I9" s="19" t="n">
        <v>0.01</v>
      </c>
      <c r="J9" s="5" t="s">
        <v>147</v>
      </c>
    </row>
    <row r="10" customFormat="false" ht="23.85" hidden="false" customHeight="false" outlineLevel="0" collapsed="false">
      <c r="A10" s="5" t="n">
        <v>6</v>
      </c>
      <c r="B10" s="5" t="s">
        <v>148</v>
      </c>
      <c r="C10" s="5" t="s">
        <v>8</v>
      </c>
      <c r="D10" s="5" t="s">
        <v>149</v>
      </c>
      <c r="E10" s="5" t="s">
        <v>150</v>
      </c>
      <c r="F10" s="5" t="s">
        <v>151</v>
      </c>
      <c r="G10" s="5" t="s">
        <v>152</v>
      </c>
      <c r="H10" s="18" t="s">
        <v>5</v>
      </c>
      <c r="I10" s="19" t="n">
        <v>0.03</v>
      </c>
      <c r="J10" s="5"/>
    </row>
    <row r="11" customFormat="false" ht="35.05" hidden="false" customHeight="false" outlineLevel="0" collapsed="false">
      <c r="A11" s="5" t="n">
        <v>7</v>
      </c>
      <c r="B11" s="5" t="s">
        <v>153</v>
      </c>
      <c r="C11" s="5" t="s">
        <v>8</v>
      </c>
      <c r="D11" s="5" t="s">
        <v>154</v>
      </c>
      <c r="E11" s="5" t="s">
        <v>155</v>
      </c>
      <c r="F11" s="5" t="s">
        <v>156</v>
      </c>
      <c r="G11" s="5" t="s">
        <v>157</v>
      </c>
      <c r="H11" s="18" t="s">
        <v>5</v>
      </c>
      <c r="I11" s="19" t="n">
        <v>0.58</v>
      </c>
      <c r="J11" s="5"/>
    </row>
    <row r="12" customFormat="false" ht="23.85" hidden="false" customHeight="false" outlineLevel="0" collapsed="false">
      <c r="A12" s="5" t="n">
        <v>8</v>
      </c>
      <c r="B12" s="5" t="s">
        <v>158</v>
      </c>
      <c r="C12" s="5" t="s">
        <v>9</v>
      </c>
      <c r="D12" s="5" t="s">
        <v>159</v>
      </c>
      <c r="E12" s="5" t="s">
        <v>160</v>
      </c>
      <c r="F12" s="5" t="s">
        <v>161</v>
      </c>
      <c r="G12" s="5" t="s">
        <v>162</v>
      </c>
      <c r="H12" s="18" t="s">
        <v>5</v>
      </c>
      <c r="I12" s="19" t="n">
        <v>0.46</v>
      </c>
      <c r="J12" s="5"/>
    </row>
    <row r="13" customFormat="false" ht="23.85" hidden="false" customHeight="false" outlineLevel="0" collapsed="false">
      <c r="A13" s="5" t="n">
        <v>9</v>
      </c>
      <c r="B13" s="5" t="s">
        <v>163</v>
      </c>
      <c r="C13" s="5" t="s">
        <v>9</v>
      </c>
      <c r="D13" s="5" t="s">
        <v>164</v>
      </c>
      <c r="E13" s="5" t="s">
        <v>165</v>
      </c>
      <c r="F13" s="5" t="s">
        <v>166</v>
      </c>
      <c r="G13" s="5" t="s">
        <v>167</v>
      </c>
      <c r="H13" s="18" t="s">
        <v>5</v>
      </c>
      <c r="I13" s="19" t="n">
        <v>0.22</v>
      </c>
      <c r="J13" s="5"/>
    </row>
    <row r="14" customFormat="false" ht="23.85" hidden="false" customHeight="false" outlineLevel="0" collapsed="false">
      <c r="A14" s="5" t="n">
        <v>10</v>
      </c>
      <c r="B14" s="5" t="s">
        <v>168</v>
      </c>
      <c r="C14" s="5" t="s">
        <v>9</v>
      </c>
      <c r="D14" s="5" t="s">
        <v>169</v>
      </c>
      <c r="E14" s="5" t="s">
        <v>170</v>
      </c>
      <c r="F14" s="5" t="s">
        <v>171</v>
      </c>
      <c r="G14" s="5" t="s">
        <v>172</v>
      </c>
      <c r="H14" s="18" t="s">
        <v>6</v>
      </c>
      <c r="I14" s="19" t="n">
        <v>0.23</v>
      </c>
      <c r="J14" s="5" t="s">
        <v>173</v>
      </c>
    </row>
    <row r="15" customFormat="false" ht="23.85" hidden="false" customHeight="false" outlineLevel="0" collapsed="false">
      <c r="A15" s="5" t="n">
        <v>11</v>
      </c>
      <c r="B15" s="5" t="s">
        <v>174</v>
      </c>
      <c r="C15" s="5" t="s">
        <v>9</v>
      </c>
      <c r="D15" s="5" t="s">
        <v>175</v>
      </c>
      <c r="E15" s="5" t="s">
        <v>176</v>
      </c>
      <c r="F15" s="5" t="s">
        <v>177</v>
      </c>
      <c r="G15" s="5" t="s">
        <v>178</v>
      </c>
      <c r="H15" s="18" t="s">
        <v>6</v>
      </c>
      <c r="I15" s="19" t="n">
        <v>0.01</v>
      </c>
      <c r="J15" s="5" t="s">
        <v>179</v>
      </c>
    </row>
    <row r="16" customFormat="false" ht="23.85" hidden="false" customHeight="false" outlineLevel="0" collapsed="false">
      <c r="A16" s="5" t="n">
        <v>12</v>
      </c>
      <c r="B16" s="5" t="s">
        <v>180</v>
      </c>
      <c r="C16" s="5" t="s">
        <v>9</v>
      </c>
      <c r="D16" s="5" t="s">
        <v>181</v>
      </c>
      <c r="E16" s="5" t="s">
        <v>182</v>
      </c>
      <c r="F16" s="5" t="s">
        <v>183</v>
      </c>
      <c r="G16" s="5" t="s">
        <v>184</v>
      </c>
      <c r="H16" s="18" t="s">
        <v>6</v>
      </c>
      <c r="I16" s="19" t="n">
        <v>0.04</v>
      </c>
      <c r="J16" s="5" t="s">
        <v>185</v>
      </c>
    </row>
    <row r="17" customFormat="false" ht="23.85" hidden="false" customHeight="false" outlineLevel="0" collapsed="false">
      <c r="A17" s="5" t="n">
        <v>13</v>
      </c>
      <c r="B17" s="5" t="s">
        <v>186</v>
      </c>
      <c r="C17" s="5" t="s">
        <v>9</v>
      </c>
      <c r="D17" s="5" t="s">
        <v>187</v>
      </c>
      <c r="E17" s="5" t="s">
        <v>188</v>
      </c>
      <c r="F17" s="5" t="s">
        <v>189</v>
      </c>
      <c r="G17" s="5" t="s">
        <v>190</v>
      </c>
      <c r="H17" s="18" t="s">
        <v>6</v>
      </c>
      <c r="I17" s="19" t="n">
        <v>0.02</v>
      </c>
      <c r="J17" s="5" t="s">
        <v>185</v>
      </c>
    </row>
    <row r="18" customFormat="false" ht="23.85" hidden="false" customHeight="false" outlineLevel="0" collapsed="false">
      <c r="A18" s="5" t="n">
        <v>14</v>
      </c>
      <c r="B18" s="5" t="s">
        <v>191</v>
      </c>
      <c r="C18" s="5" t="s">
        <v>9</v>
      </c>
      <c r="D18" s="5" t="s">
        <v>192</v>
      </c>
      <c r="E18" s="5" t="s">
        <v>193</v>
      </c>
      <c r="F18" s="5" t="s">
        <v>194</v>
      </c>
      <c r="G18" s="5" t="s">
        <v>195</v>
      </c>
      <c r="H18" s="18" t="s">
        <v>6</v>
      </c>
      <c r="I18" s="19" t="n">
        <v>0.12</v>
      </c>
      <c r="J18" s="5" t="s">
        <v>196</v>
      </c>
    </row>
    <row r="19" customFormat="false" ht="23.85" hidden="false" customHeight="false" outlineLevel="0" collapsed="false">
      <c r="A19" s="5" t="n">
        <v>15</v>
      </c>
      <c r="B19" s="5" t="s">
        <v>197</v>
      </c>
      <c r="C19" s="5" t="s">
        <v>9</v>
      </c>
      <c r="D19" s="5" t="s">
        <v>198</v>
      </c>
      <c r="E19" s="5" t="s">
        <v>199</v>
      </c>
      <c r="F19" s="5" t="s">
        <v>200</v>
      </c>
      <c r="G19" s="5" t="s">
        <v>201</v>
      </c>
      <c r="H19" s="18" t="s">
        <v>6</v>
      </c>
      <c r="I19" s="19" t="n">
        <v>0.09</v>
      </c>
      <c r="J19" s="5" t="s">
        <v>202</v>
      </c>
    </row>
    <row r="20" customFormat="false" ht="35.05" hidden="false" customHeight="false" outlineLevel="0" collapsed="false">
      <c r="A20" s="5" t="n">
        <v>16</v>
      </c>
      <c r="B20" s="5" t="s">
        <v>203</v>
      </c>
      <c r="C20" s="5" t="s">
        <v>9</v>
      </c>
      <c r="D20" s="5" t="s">
        <v>204</v>
      </c>
      <c r="E20" s="5" t="s">
        <v>205</v>
      </c>
      <c r="F20" s="5" t="s">
        <v>206</v>
      </c>
      <c r="G20" s="5" t="s">
        <v>207</v>
      </c>
      <c r="H20" s="18" t="s">
        <v>5</v>
      </c>
      <c r="I20" s="19" t="n">
        <v>0.35</v>
      </c>
      <c r="J20" s="5"/>
    </row>
    <row r="21" customFormat="false" ht="23.85" hidden="false" customHeight="false" outlineLevel="0" collapsed="false">
      <c r="A21" s="5" t="n">
        <v>17</v>
      </c>
      <c r="B21" s="5" t="s">
        <v>208</v>
      </c>
      <c r="C21" s="5" t="s">
        <v>9</v>
      </c>
      <c r="D21" s="5" t="s">
        <v>209</v>
      </c>
      <c r="E21" s="5" t="s">
        <v>210</v>
      </c>
      <c r="F21" s="5" t="s">
        <v>211</v>
      </c>
      <c r="G21" s="5" t="s">
        <v>212</v>
      </c>
      <c r="H21" s="18" t="s">
        <v>6</v>
      </c>
      <c r="I21" s="19" t="n">
        <v>0.37</v>
      </c>
      <c r="J21" s="5" t="s">
        <v>213</v>
      </c>
    </row>
    <row r="22" customFormat="false" ht="23.85" hidden="false" customHeight="false" outlineLevel="0" collapsed="false">
      <c r="A22" s="5" t="n">
        <v>18</v>
      </c>
      <c r="B22" s="5" t="s">
        <v>214</v>
      </c>
      <c r="C22" s="5" t="s">
        <v>9</v>
      </c>
      <c r="D22" s="5" t="s">
        <v>215</v>
      </c>
      <c r="E22" s="5" t="s">
        <v>216</v>
      </c>
      <c r="F22" s="5" t="s">
        <v>217</v>
      </c>
      <c r="G22" s="5" t="s">
        <v>218</v>
      </c>
      <c r="H22" s="18" t="s">
        <v>5</v>
      </c>
      <c r="I22" s="19" t="n">
        <v>0.23</v>
      </c>
      <c r="J22" s="5"/>
    </row>
    <row r="23" customFormat="false" ht="23.85" hidden="false" customHeight="false" outlineLevel="0" collapsed="false">
      <c r="A23" s="5" t="n">
        <v>19</v>
      </c>
      <c r="B23" s="5" t="s">
        <v>219</v>
      </c>
      <c r="C23" s="5" t="s">
        <v>10</v>
      </c>
      <c r="D23" s="5" t="s">
        <v>220</v>
      </c>
      <c r="E23" s="5" t="s">
        <v>221</v>
      </c>
      <c r="F23" s="5" t="s">
        <v>222</v>
      </c>
      <c r="G23" s="5" t="s">
        <v>223</v>
      </c>
      <c r="H23" s="18" t="s">
        <v>5</v>
      </c>
      <c r="I23" s="19" t="n">
        <v>0.14</v>
      </c>
      <c r="J23" s="5"/>
    </row>
    <row r="24" customFormat="false" ht="23.85" hidden="false" customHeight="false" outlineLevel="0" collapsed="false">
      <c r="A24" s="5" t="n">
        <v>20</v>
      </c>
      <c r="B24" s="5" t="s">
        <v>224</v>
      </c>
      <c r="C24" s="5" t="s">
        <v>10</v>
      </c>
      <c r="D24" s="5" t="s">
        <v>225</v>
      </c>
      <c r="E24" s="5" t="s">
        <v>226</v>
      </c>
      <c r="F24" s="5" t="s">
        <v>227</v>
      </c>
      <c r="G24" s="5" t="s">
        <v>228</v>
      </c>
      <c r="H24" s="18" t="s">
        <v>6</v>
      </c>
      <c r="I24" s="19" t="n">
        <v>0.03</v>
      </c>
      <c r="J24" s="5" t="s">
        <v>229</v>
      </c>
    </row>
    <row r="25" customFormat="false" ht="35.05" hidden="false" customHeight="false" outlineLevel="0" collapsed="false">
      <c r="A25" s="5" t="n">
        <v>21</v>
      </c>
      <c r="B25" s="5" t="s">
        <v>230</v>
      </c>
      <c r="C25" s="5" t="s">
        <v>10</v>
      </c>
      <c r="D25" s="5" t="s">
        <v>231</v>
      </c>
      <c r="E25" s="5" t="s">
        <v>232</v>
      </c>
      <c r="F25" s="5" t="s">
        <v>233</v>
      </c>
      <c r="G25" s="5" t="s">
        <v>234</v>
      </c>
      <c r="H25" s="18" t="s">
        <v>6</v>
      </c>
      <c r="I25" s="19" t="n">
        <v>0.14</v>
      </c>
      <c r="J25" s="5" t="s">
        <v>235</v>
      </c>
    </row>
    <row r="26" customFormat="false" ht="23.85" hidden="false" customHeight="false" outlineLevel="0" collapsed="false">
      <c r="A26" s="5" t="n">
        <v>22</v>
      </c>
      <c r="B26" s="5" t="s">
        <v>236</v>
      </c>
      <c r="C26" s="5" t="s">
        <v>10</v>
      </c>
      <c r="D26" s="5" t="s">
        <v>237</v>
      </c>
      <c r="E26" s="5" t="s">
        <v>238</v>
      </c>
      <c r="F26" s="5" t="s">
        <v>239</v>
      </c>
      <c r="G26" s="5" t="s">
        <v>240</v>
      </c>
      <c r="H26" s="18" t="s">
        <v>5</v>
      </c>
      <c r="I26" s="19" t="n">
        <v>0.11</v>
      </c>
      <c r="J26" s="5"/>
    </row>
    <row r="27" customFormat="false" ht="23.85" hidden="false" customHeight="false" outlineLevel="0" collapsed="false">
      <c r="A27" s="5" t="n">
        <v>23</v>
      </c>
      <c r="B27" s="5" t="s">
        <v>241</v>
      </c>
      <c r="C27" s="5" t="s">
        <v>10</v>
      </c>
      <c r="D27" s="5" t="s">
        <v>242</v>
      </c>
      <c r="E27" s="5" t="s">
        <v>243</v>
      </c>
      <c r="F27" s="5" t="s">
        <v>244</v>
      </c>
      <c r="G27" s="5" t="s">
        <v>245</v>
      </c>
      <c r="H27" s="18" t="s">
        <v>6</v>
      </c>
      <c r="I27" s="19" t="n">
        <v>0.15</v>
      </c>
      <c r="J27" s="5" t="s">
        <v>246</v>
      </c>
    </row>
    <row r="28" customFormat="false" ht="23.85" hidden="false" customHeight="false" outlineLevel="0" collapsed="false">
      <c r="A28" s="5" t="n">
        <v>24</v>
      </c>
      <c r="B28" s="5" t="s">
        <v>247</v>
      </c>
      <c r="C28" s="5" t="s">
        <v>11</v>
      </c>
      <c r="D28" s="5" t="s">
        <v>248</v>
      </c>
      <c r="E28" s="5" t="s">
        <v>249</v>
      </c>
      <c r="F28" s="5" t="s">
        <v>250</v>
      </c>
      <c r="G28" s="5" t="s">
        <v>251</v>
      </c>
      <c r="H28" s="18" t="s">
        <v>5</v>
      </c>
      <c r="I28" s="19" t="n">
        <v>0.24</v>
      </c>
      <c r="J28" s="5"/>
    </row>
    <row r="29" customFormat="false" ht="15" hidden="false" customHeight="false" outlineLevel="0" collapsed="false">
      <c r="A29" s="5" t="n">
        <v>25</v>
      </c>
      <c r="B29" s="5" t="s">
        <v>252</v>
      </c>
      <c r="C29" s="5" t="s">
        <v>11</v>
      </c>
      <c r="D29" s="5" t="s">
        <v>253</v>
      </c>
      <c r="E29" s="5" t="s">
        <v>254</v>
      </c>
      <c r="F29" s="5" t="s">
        <v>255</v>
      </c>
      <c r="G29" s="5" t="s">
        <v>256</v>
      </c>
      <c r="H29" s="18" t="s">
        <v>5</v>
      </c>
      <c r="I29" s="19" t="n">
        <v>0.26</v>
      </c>
      <c r="J29" s="5"/>
    </row>
    <row r="30" customFormat="false" ht="23.85" hidden="false" customHeight="false" outlineLevel="0" collapsed="false">
      <c r="A30" s="5" t="n">
        <v>26</v>
      </c>
      <c r="B30" s="5" t="s">
        <v>257</v>
      </c>
      <c r="C30" s="5" t="s">
        <v>11</v>
      </c>
      <c r="D30" s="5" t="s">
        <v>258</v>
      </c>
      <c r="E30" s="5" t="s">
        <v>259</v>
      </c>
      <c r="F30" s="5" t="s">
        <v>260</v>
      </c>
      <c r="G30" s="5" t="s">
        <v>261</v>
      </c>
      <c r="H30" s="18" t="s">
        <v>5</v>
      </c>
      <c r="I30" s="19" t="n">
        <v>0.3</v>
      </c>
      <c r="J30" s="5"/>
    </row>
    <row r="31" customFormat="false" ht="23.85" hidden="false" customHeight="false" outlineLevel="0" collapsed="false">
      <c r="A31" s="5" t="n">
        <v>27</v>
      </c>
      <c r="B31" s="5" t="s">
        <v>262</v>
      </c>
      <c r="C31" s="5" t="s">
        <v>11</v>
      </c>
      <c r="D31" s="5" t="s">
        <v>263</v>
      </c>
      <c r="E31" s="5" t="s">
        <v>264</v>
      </c>
      <c r="F31" s="5" t="s">
        <v>265</v>
      </c>
      <c r="G31" s="5" t="s">
        <v>266</v>
      </c>
      <c r="H31" s="18" t="s">
        <v>6</v>
      </c>
      <c r="I31" s="19" t="n">
        <v>0.22</v>
      </c>
      <c r="J31" s="5" t="s">
        <v>267</v>
      </c>
    </row>
    <row r="32" customFormat="false" ht="23.85" hidden="false" customHeight="false" outlineLevel="0" collapsed="false">
      <c r="A32" s="5" t="n">
        <v>28</v>
      </c>
      <c r="B32" s="5" t="s">
        <v>268</v>
      </c>
      <c r="C32" s="5" t="s">
        <v>11</v>
      </c>
      <c r="D32" s="5" t="s">
        <v>269</v>
      </c>
      <c r="E32" s="5" t="s">
        <v>270</v>
      </c>
      <c r="F32" s="5" t="s">
        <v>271</v>
      </c>
      <c r="G32" s="5" t="s">
        <v>272</v>
      </c>
      <c r="H32" s="18" t="s">
        <v>5</v>
      </c>
      <c r="I32" s="19" t="n">
        <v>0.31</v>
      </c>
      <c r="J32" s="5"/>
    </row>
    <row r="33" customFormat="false" ht="23.85" hidden="false" customHeight="false" outlineLevel="0" collapsed="false">
      <c r="A33" s="5" t="n">
        <v>29</v>
      </c>
      <c r="B33" s="5" t="s">
        <v>273</v>
      </c>
      <c r="C33" s="5" t="s">
        <v>12</v>
      </c>
      <c r="D33" s="5" t="s">
        <v>274</v>
      </c>
      <c r="E33" s="5" t="s">
        <v>275</v>
      </c>
      <c r="F33" s="5" t="s">
        <v>276</v>
      </c>
      <c r="G33" s="5" t="s">
        <v>277</v>
      </c>
      <c r="H33" s="18" t="s">
        <v>5</v>
      </c>
      <c r="I33" s="19" t="n">
        <v>0.25</v>
      </c>
      <c r="J33" s="5"/>
    </row>
    <row r="34" customFormat="false" ht="23.85" hidden="false" customHeight="false" outlineLevel="0" collapsed="false">
      <c r="A34" s="5" t="n">
        <v>30</v>
      </c>
      <c r="B34" s="5" t="s">
        <v>278</v>
      </c>
      <c r="C34" s="5" t="s">
        <v>12</v>
      </c>
      <c r="D34" s="5" t="s">
        <v>279</v>
      </c>
      <c r="E34" s="5" t="s">
        <v>280</v>
      </c>
      <c r="F34" s="5" t="s">
        <v>281</v>
      </c>
      <c r="G34" s="5" t="s">
        <v>282</v>
      </c>
      <c r="H34" s="18" t="s">
        <v>5</v>
      </c>
      <c r="I34" s="19" t="n">
        <v>2.18</v>
      </c>
      <c r="J34" s="5"/>
    </row>
    <row r="35" customFormat="false" ht="35.05" hidden="false" customHeight="false" outlineLevel="0" collapsed="false">
      <c r="A35" s="5" t="n">
        <v>31</v>
      </c>
      <c r="B35" s="5" t="s">
        <v>283</v>
      </c>
      <c r="C35" s="5" t="s">
        <v>12</v>
      </c>
      <c r="D35" s="5" t="s">
        <v>284</v>
      </c>
      <c r="E35" s="5" t="s">
        <v>285</v>
      </c>
      <c r="F35" s="5" t="s">
        <v>286</v>
      </c>
      <c r="G35" s="5" t="s">
        <v>287</v>
      </c>
      <c r="H35" s="18" t="s">
        <v>5</v>
      </c>
      <c r="I35" s="19" t="n">
        <v>18.99</v>
      </c>
      <c r="J35" s="5"/>
    </row>
    <row r="36" customFormat="false" ht="35.05" hidden="false" customHeight="false" outlineLevel="0" collapsed="false">
      <c r="A36" s="5" t="n">
        <v>32</v>
      </c>
      <c r="B36" s="5" t="s">
        <v>288</v>
      </c>
      <c r="C36" s="5" t="s">
        <v>12</v>
      </c>
      <c r="D36" s="5" t="s">
        <v>289</v>
      </c>
      <c r="E36" s="5" t="s">
        <v>290</v>
      </c>
      <c r="F36" s="5" t="s">
        <v>291</v>
      </c>
      <c r="G36" s="5" t="s">
        <v>292</v>
      </c>
      <c r="H36" s="18" t="s">
        <v>6</v>
      </c>
      <c r="I36" s="19" t="n">
        <v>3.79</v>
      </c>
      <c r="J36" s="5" t="s">
        <v>293</v>
      </c>
    </row>
    <row r="37" customFormat="false" ht="23.85" hidden="false" customHeight="false" outlineLevel="0" collapsed="false">
      <c r="A37" s="5" t="n">
        <v>33</v>
      </c>
      <c r="B37" s="5" t="s">
        <v>294</v>
      </c>
      <c r="C37" s="5" t="s">
        <v>12</v>
      </c>
      <c r="D37" s="5" t="s">
        <v>295</v>
      </c>
      <c r="E37" s="5" t="s">
        <v>296</v>
      </c>
      <c r="F37" s="5" t="s">
        <v>297</v>
      </c>
      <c r="G37" s="5" t="s">
        <v>298</v>
      </c>
      <c r="H37" s="18" t="s">
        <v>6</v>
      </c>
      <c r="I37" s="19" t="n">
        <v>0.3</v>
      </c>
      <c r="J37" s="5" t="s">
        <v>299</v>
      </c>
    </row>
    <row r="38" customFormat="false" ht="23.85" hidden="false" customHeight="false" outlineLevel="0" collapsed="false">
      <c r="A38" s="5" t="n">
        <v>34</v>
      </c>
      <c r="B38" s="5" t="s">
        <v>300</v>
      </c>
      <c r="C38" s="5" t="s">
        <v>12</v>
      </c>
      <c r="D38" s="5" t="s">
        <v>301</v>
      </c>
      <c r="E38" s="5" t="s">
        <v>302</v>
      </c>
      <c r="F38" s="5" t="s">
        <v>303</v>
      </c>
      <c r="G38" s="5" t="s">
        <v>304</v>
      </c>
      <c r="H38" s="18" t="s">
        <v>6</v>
      </c>
      <c r="I38" s="19" t="n">
        <v>0.14</v>
      </c>
      <c r="J38" s="5" t="s">
        <v>179</v>
      </c>
    </row>
    <row r="39" customFormat="false" ht="23.85" hidden="false" customHeight="false" outlineLevel="0" collapsed="false">
      <c r="A39" s="5" t="n">
        <v>35</v>
      </c>
      <c r="B39" s="5" t="s">
        <v>305</v>
      </c>
      <c r="C39" s="5" t="s">
        <v>12</v>
      </c>
      <c r="D39" s="5" t="s">
        <v>306</v>
      </c>
      <c r="E39" s="5" t="s">
        <v>307</v>
      </c>
      <c r="F39" s="5" t="s">
        <v>308</v>
      </c>
      <c r="G39" s="5" t="s">
        <v>309</v>
      </c>
      <c r="H39" s="18" t="s">
        <v>5</v>
      </c>
      <c r="I39" s="19" t="n">
        <v>0.19</v>
      </c>
      <c r="J39" s="5"/>
    </row>
    <row r="40" customFormat="false" ht="35.05" hidden="false" customHeight="false" outlineLevel="0" collapsed="false">
      <c r="A40" s="5" t="n">
        <v>36</v>
      </c>
      <c r="B40" s="5" t="s">
        <v>310</v>
      </c>
      <c r="C40" s="5" t="s">
        <v>12</v>
      </c>
      <c r="D40" s="5" t="s">
        <v>311</v>
      </c>
      <c r="E40" s="5" t="s">
        <v>312</v>
      </c>
      <c r="F40" s="5" t="s">
        <v>313</v>
      </c>
      <c r="G40" s="5" t="s">
        <v>314</v>
      </c>
      <c r="H40" s="18" t="s">
        <v>5</v>
      </c>
      <c r="I40" s="19" t="n">
        <v>39.87</v>
      </c>
      <c r="J40" s="5"/>
    </row>
    <row r="41" customFormat="false" ht="23.85" hidden="false" customHeight="false" outlineLevel="0" collapsed="false">
      <c r="A41" s="5" t="n">
        <v>37</v>
      </c>
      <c r="B41" s="5" t="s">
        <v>315</v>
      </c>
      <c r="C41" s="5" t="s">
        <v>12</v>
      </c>
      <c r="D41" s="5" t="s">
        <v>316</v>
      </c>
      <c r="E41" s="5" t="s">
        <v>317</v>
      </c>
      <c r="F41" s="5" t="s">
        <v>318</v>
      </c>
      <c r="G41" s="5" t="s">
        <v>319</v>
      </c>
      <c r="H41" s="18" t="s">
        <v>5</v>
      </c>
      <c r="I41" s="19" t="n">
        <v>3.99</v>
      </c>
      <c r="J41" s="5"/>
    </row>
    <row r="42" customFormat="false" ht="23.85" hidden="false" customHeight="false" outlineLevel="0" collapsed="false">
      <c r="A42" s="5" t="n">
        <v>38</v>
      </c>
      <c r="B42" s="5" t="s">
        <v>320</v>
      </c>
      <c r="C42" s="5" t="s">
        <v>12</v>
      </c>
      <c r="D42" s="5" t="s">
        <v>321</v>
      </c>
      <c r="E42" s="5" t="s">
        <v>322</v>
      </c>
      <c r="F42" s="5" t="s">
        <v>323</v>
      </c>
      <c r="G42" s="5" t="s">
        <v>324</v>
      </c>
      <c r="H42" s="18" t="s">
        <v>5</v>
      </c>
      <c r="I42" s="19" t="n">
        <v>0.7</v>
      </c>
      <c r="J42" s="5"/>
    </row>
    <row r="43" customFormat="false" ht="23.85" hidden="false" customHeight="false" outlineLevel="0" collapsed="false">
      <c r="A43" s="5" t="n">
        <v>39</v>
      </c>
      <c r="B43" s="5" t="s">
        <v>325</v>
      </c>
      <c r="C43" s="5" t="s">
        <v>12</v>
      </c>
      <c r="D43" s="5" t="s">
        <v>326</v>
      </c>
      <c r="E43" s="5" t="s">
        <v>327</v>
      </c>
      <c r="F43" s="5" t="s">
        <v>328</v>
      </c>
      <c r="G43" s="5" t="s">
        <v>329</v>
      </c>
      <c r="H43" s="18" t="s">
        <v>5</v>
      </c>
      <c r="I43" s="19" t="n">
        <v>0.39</v>
      </c>
      <c r="J43" s="5"/>
    </row>
    <row r="44" customFormat="false" ht="23.85" hidden="false" customHeight="false" outlineLevel="0" collapsed="false">
      <c r="A44" s="5" t="n">
        <v>40</v>
      </c>
      <c r="B44" s="5" t="s">
        <v>330</v>
      </c>
      <c r="C44" s="5" t="s">
        <v>12</v>
      </c>
      <c r="D44" s="5" t="s">
        <v>331</v>
      </c>
      <c r="E44" s="5" t="s">
        <v>332</v>
      </c>
      <c r="F44" s="5" t="s">
        <v>333</v>
      </c>
      <c r="G44" s="5" t="s">
        <v>334</v>
      </c>
      <c r="H44" s="18" t="s">
        <v>6</v>
      </c>
      <c r="I44" s="19" t="n">
        <v>6.47</v>
      </c>
      <c r="J44" s="5" t="s">
        <v>335</v>
      </c>
    </row>
    <row r="45" customFormat="false" ht="23.85" hidden="false" customHeight="false" outlineLevel="0" collapsed="false">
      <c r="A45" s="5" t="n">
        <v>41</v>
      </c>
      <c r="B45" s="5" t="s">
        <v>336</v>
      </c>
      <c r="C45" s="5" t="s">
        <v>13</v>
      </c>
      <c r="D45" s="5" t="s">
        <v>337</v>
      </c>
      <c r="E45" s="5" t="s">
        <v>338</v>
      </c>
      <c r="F45" s="5" t="s">
        <v>339</v>
      </c>
      <c r="G45" s="5" t="s">
        <v>340</v>
      </c>
      <c r="H45" s="18" t="s">
        <v>5</v>
      </c>
      <c r="I45" s="19" t="n">
        <v>0.61</v>
      </c>
      <c r="J45" s="5"/>
    </row>
    <row r="46" customFormat="false" ht="23.85" hidden="false" customHeight="false" outlineLevel="0" collapsed="false">
      <c r="A46" s="5" t="n">
        <v>42</v>
      </c>
      <c r="B46" s="5" t="s">
        <v>341</v>
      </c>
      <c r="C46" s="5" t="s">
        <v>13</v>
      </c>
      <c r="D46" s="5" t="s">
        <v>342</v>
      </c>
      <c r="E46" s="5" t="s">
        <v>343</v>
      </c>
      <c r="F46" s="5" t="s">
        <v>344</v>
      </c>
      <c r="G46" s="5" t="s">
        <v>345</v>
      </c>
      <c r="H46" s="18" t="s">
        <v>5</v>
      </c>
      <c r="I46" s="19" t="n">
        <v>0.16</v>
      </c>
      <c r="J46" s="5"/>
    </row>
    <row r="47" customFormat="false" ht="23.85" hidden="false" customHeight="false" outlineLevel="0" collapsed="false">
      <c r="A47" s="5" t="n">
        <v>43</v>
      </c>
      <c r="B47" s="5" t="s">
        <v>346</v>
      </c>
      <c r="C47" s="5" t="s">
        <v>13</v>
      </c>
      <c r="D47" s="5" t="s">
        <v>347</v>
      </c>
      <c r="E47" s="5" t="s">
        <v>348</v>
      </c>
      <c r="F47" s="5" t="s">
        <v>349</v>
      </c>
      <c r="G47" s="5" t="s">
        <v>350</v>
      </c>
      <c r="H47" s="18" t="s">
        <v>6</v>
      </c>
      <c r="I47" s="19" t="n">
        <v>0.31</v>
      </c>
      <c r="J47" s="5" t="s">
        <v>351</v>
      </c>
    </row>
    <row r="48" customFormat="false" ht="23.85" hidden="false" customHeight="false" outlineLevel="0" collapsed="false">
      <c r="A48" s="5" t="n">
        <v>44</v>
      </c>
      <c r="B48" s="5" t="s">
        <v>352</v>
      </c>
      <c r="C48" s="5" t="s">
        <v>14</v>
      </c>
      <c r="D48" s="5" t="s">
        <v>353</v>
      </c>
      <c r="E48" s="5" t="s">
        <v>354</v>
      </c>
      <c r="F48" s="5" t="s">
        <v>355</v>
      </c>
      <c r="G48" s="5" t="s">
        <v>356</v>
      </c>
      <c r="H48" s="18" t="s">
        <v>5</v>
      </c>
      <c r="I48" s="19" t="n">
        <v>12.16</v>
      </c>
      <c r="J48" s="5"/>
    </row>
    <row r="49" customFormat="false" ht="35.05" hidden="false" customHeight="false" outlineLevel="0" collapsed="false">
      <c r="A49" s="5" t="n">
        <v>45</v>
      </c>
      <c r="B49" s="5" t="s">
        <v>357</v>
      </c>
      <c r="C49" s="5" t="s">
        <v>14</v>
      </c>
      <c r="D49" s="5" t="s">
        <v>358</v>
      </c>
      <c r="E49" s="5" t="s">
        <v>359</v>
      </c>
      <c r="F49" s="5" t="s">
        <v>360</v>
      </c>
      <c r="G49" s="5" t="s">
        <v>361</v>
      </c>
      <c r="H49" s="18" t="s">
        <v>6</v>
      </c>
      <c r="I49" s="19" t="n">
        <v>26.61</v>
      </c>
      <c r="J49" s="5" t="s">
        <v>362</v>
      </c>
    </row>
    <row r="50" customFormat="false" ht="35.05" hidden="false" customHeight="false" outlineLevel="0" collapsed="false">
      <c r="A50" s="5" t="n">
        <v>46</v>
      </c>
      <c r="B50" s="5" t="s">
        <v>363</v>
      </c>
      <c r="C50" s="5" t="s">
        <v>14</v>
      </c>
      <c r="D50" s="5" t="s">
        <v>364</v>
      </c>
      <c r="E50" s="5" t="s">
        <v>365</v>
      </c>
      <c r="F50" s="5" t="s">
        <v>366</v>
      </c>
      <c r="G50" s="5" t="s">
        <v>367</v>
      </c>
      <c r="H50" s="18" t="s">
        <v>6</v>
      </c>
      <c r="I50" s="19" t="n">
        <v>40.34</v>
      </c>
      <c r="J50" s="5" t="s">
        <v>368</v>
      </c>
    </row>
    <row r="51" customFormat="false" ht="23.85" hidden="false" customHeight="false" outlineLevel="0" collapsed="false">
      <c r="A51" s="5" t="n">
        <v>47</v>
      </c>
      <c r="B51" s="5" t="s">
        <v>369</v>
      </c>
      <c r="C51" s="5" t="s">
        <v>14</v>
      </c>
      <c r="D51" s="5" t="s">
        <v>370</v>
      </c>
      <c r="E51" s="5" t="s">
        <v>371</v>
      </c>
      <c r="F51" s="5" t="s">
        <v>372</v>
      </c>
      <c r="G51" s="5" t="s">
        <v>373</v>
      </c>
      <c r="H51" s="18" t="s">
        <v>5</v>
      </c>
      <c r="I51" s="19" t="n">
        <v>0.01</v>
      </c>
      <c r="J51" s="5"/>
    </row>
    <row r="52" customFormat="false" ht="23.85" hidden="false" customHeight="false" outlineLevel="0" collapsed="false">
      <c r="A52" s="5" t="n">
        <v>48</v>
      </c>
      <c r="B52" s="5" t="s">
        <v>374</v>
      </c>
      <c r="C52" s="5" t="s">
        <v>15</v>
      </c>
      <c r="D52" s="5" t="s">
        <v>375</v>
      </c>
      <c r="E52" s="5" t="s">
        <v>376</v>
      </c>
      <c r="F52" s="5" t="s">
        <v>377</v>
      </c>
      <c r="G52" s="5" t="s">
        <v>378</v>
      </c>
      <c r="H52" s="18" t="s">
        <v>5</v>
      </c>
      <c r="I52" s="19" t="n">
        <v>0.42</v>
      </c>
      <c r="J52" s="5"/>
    </row>
    <row r="53" customFormat="false" ht="23.85" hidden="false" customHeight="false" outlineLevel="0" collapsed="false">
      <c r="A53" s="5" t="n">
        <v>49</v>
      </c>
      <c r="B53" s="5" t="s">
        <v>379</v>
      </c>
      <c r="C53" s="5" t="s">
        <v>15</v>
      </c>
      <c r="D53" s="5" t="s">
        <v>380</v>
      </c>
      <c r="E53" s="5" t="s">
        <v>381</v>
      </c>
      <c r="F53" s="5" t="s">
        <v>382</v>
      </c>
      <c r="G53" s="5" t="s">
        <v>383</v>
      </c>
      <c r="H53" s="18" t="s">
        <v>5</v>
      </c>
      <c r="I53" s="19" t="n">
        <v>0.72</v>
      </c>
      <c r="J53" s="5"/>
    </row>
    <row r="54" customFormat="false" ht="23.85" hidden="false" customHeight="false" outlineLevel="0" collapsed="false">
      <c r="A54" s="5" t="n">
        <v>50</v>
      </c>
      <c r="B54" s="5" t="s">
        <v>384</v>
      </c>
      <c r="C54" s="5" t="s">
        <v>15</v>
      </c>
      <c r="D54" s="5" t="s">
        <v>385</v>
      </c>
      <c r="E54" s="5" t="s">
        <v>386</v>
      </c>
      <c r="F54" s="5" t="s">
        <v>387</v>
      </c>
      <c r="G54" s="5" t="s">
        <v>388</v>
      </c>
      <c r="H54" s="18" t="s">
        <v>5</v>
      </c>
      <c r="I54" s="19" t="n">
        <v>3.36</v>
      </c>
      <c r="J54" s="5"/>
    </row>
    <row r="55" customFormat="false" ht="35.05" hidden="false" customHeight="false" outlineLevel="0" collapsed="false">
      <c r="A55" s="5" t="n">
        <v>51</v>
      </c>
      <c r="B55" s="5" t="s">
        <v>389</v>
      </c>
      <c r="C55" s="5" t="s">
        <v>15</v>
      </c>
      <c r="D55" s="5" t="s">
        <v>390</v>
      </c>
      <c r="E55" s="5" t="s">
        <v>391</v>
      </c>
      <c r="F55" s="5" t="s">
        <v>392</v>
      </c>
      <c r="G55" s="5" t="s">
        <v>393</v>
      </c>
      <c r="H55" s="18" t="s">
        <v>5</v>
      </c>
      <c r="I55" s="19" t="n">
        <v>10.9</v>
      </c>
      <c r="J55" s="5"/>
    </row>
    <row r="56" customFormat="false" ht="23.85" hidden="false" customHeight="false" outlineLevel="0" collapsed="false">
      <c r="A56" s="5" t="n">
        <v>52</v>
      </c>
      <c r="B56" s="5" t="s">
        <v>394</v>
      </c>
      <c r="C56" s="5" t="s">
        <v>15</v>
      </c>
      <c r="D56" s="5" t="s">
        <v>395</v>
      </c>
      <c r="E56" s="5" t="s">
        <v>396</v>
      </c>
      <c r="F56" s="5" t="s">
        <v>397</v>
      </c>
      <c r="G56" s="5" t="s">
        <v>398</v>
      </c>
      <c r="H56" s="18" t="s">
        <v>5</v>
      </c>
      <c r="I56" s="19" t="n">
        <v>0.56</v>
      </c>
      <c r="J56" s="5"/>
    </row>
    <row r="57" customFormat="false" ht="35.05" hidden="false" customHeight="false" outlineLevel="0" collapsed="false">
      <c r="A57" s="5" t="n">
        <v>53</v>
      </c>
      <c r="B57" s="5" t="s">
        <v>399</v>
      </c>
      <c r="C57" s="5" t="s">
        <v>15</v>
      </c>
      <c r="D57" s="5" t="s">
        <v>400</v>
      </c>
      <c r="E57" s="5" t="s">
        <v>401</v>
      </c>
      <c r="F57" s="5" t="s">
        <v>402</v>
      </c>
      <c r="G57" s="5" t="s">
        <v>403</v>
      </c>
      <c r="H57" s="18" t="s">
        <v>6</v>
      </c>
      <c r="I57" s="19" t="n">
        <v>2.67</v>
      </c>
      <c r="J57" s="5" t="s">
        <v>179</v>
      </c>
    </row>
    <row r="58" customFormat="false" ht="23.85" hidden="false" customHeight="false" outlineLevel="0" collapsed="false">
      <c r="A58" s="5" t="n">
        <v>54</v>
      </c>
      <c r="B58" s="5" t="s">
        <v>404</v>
      </c>
      <c r="C58" s="5" t="s">
        <v>15</v>
      </c>
      <c r="D58" s="5" t="s">
        <v>405</v>
      </c>
      <c r="E58" s="5" t="s">
        <v>406</v>
      </c>
      <c r="F58" s="5" t="s">
        <v>407</v>
      </c>
      <c r="G58" s="5" t="s">
        <v>408</v>
      </c>
      <c r="H58" s="18" t="s">
        <v>5</v>
      </c>
      <c r="I58" s="19" t="n">
        <v>3.09</v>
      </c>
      <c r="J58" s="5"/>
    </row>
    <row r="59" customFormat="false" ht="23.85" hidden="false" customHeight="false" outlineLevel="0" collapsed="false">
      <c r="A59" s="5" t="n">
        <v>55</v>
      </c>
      <c r="B59" s="5" t="s">
        <v>409</v>
      </c>
      <c r="C59" s="5" t="s">
        <v>15</v>
      </c>
      <c r="D59" s="5" t="s">
        <v>410</v>
      </c>
      <c r="E59" s="5" t="s">
        <v>411</v>
      </c>
      <c r="F59" s="5" t="s">
        <v>412</v>
      </c>
      <c r="G59" s="5" t="s">
        <v>413</v>
      </c>
      <c r="H59" s="18" t="s">
        <v>6</v>
      </c>
      <c r="I59" s="19" t="n">
        <v>1.71</v>
      </c>
      <c r="J59" s="5" t="s">
        <v>173</v>
      </c>
    </row>
    <row r="60" customFormat="false" ht="15" hidden="false" customHeight="false" outlineLevel="0" collapsed="false">
      <c r="A60" s="5" t="n">
        <v>56</v>
      </c>
      <c r="B60" s="5" t="s">
        <v>414</v>
      </c>
      <c r="C60" s="5" t="s">
        <v>15</v>
      </c>
      <c r="D60" s="5" t="s">
        <v>415</v>
      </c>
      <c r="E60" s="5" t="s">
        <v>416</v>
      </c>
      <c r="F60" s="5" t="s">
        <v>417</v>
      </c>
      <c r="G60" s="5" t="s">
        <v>418</v>
      </c>
      <c r="H60" s="18" t="s">
        <v>5</v>
      </c>
      <c r="I60" s="19" t="n">
        <v>0</v>
      </c>
      <c r="J60" s="5"/>
    </row>
  </sheetData>
  <autoFilter ref="A4:J60"/>
  <conditionalFormatting sqref="H5:H61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"SKIP"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419</v>
      </c>
    </row>
    <row r="2" customFormat="false" ht="15" hidden="false" customHeight="false" outlineLevel="0" collapsed="false">
      <c r="A2" s="2" t="s">
        <v>420</v>
      </c>
    </row>
    <row r="4" customFormat="false" ht="30" hidden="false" customHeight="true" outlineLevel="0" collapsed="false">
      <c r="A4" s="4" t="s">
        <v>113</v>
      </c>
      <c r="B4" s="4" t="s">
        <v>18</v>
      </c>
      <c r="C4" s="4" t="s">
        <v>421</v>
      </c>
      <c r="D4" s="4" t="s">
        <v>422</v>
      </c>
      <c r="E4" s="4" t="s">
        <v>423</v>
      </c>
      <c r="F4" s="4" t="s">
        <v>118</v>
      </c>
    </row>
    <row r="5" customFormat="false" ht="23.85" hidden="false" customHeight="false" outlineLevel="0" collapsed="false">
      <c r="A5" s="5" t="s">
        <v>202</v>
      </c>
      <c r="B5" s="20" t="s">
        <v>20</v>
      </c>
      <c r="C5" s="5" t="s">
        <v>424</v>
      </c>
      <c r="D5" s="5" t="s">
        <v>197</v>
      </c>
      <c r="E5" s="5" t="s">
        <v>425</v>
      </c>
      <c r="F5" s="5" t="s">
        <v>426</v>
      </c>
    </row>
    <row r="6" customFormat="false" ht="35.05" hidden="false" customHeight="false" outlineLevel="0" collapsed="false">
      <c r="A6" s="5" t="s">
        <v>185</v>
      </c>
      <c r="B6" s="21" t="s">
        <v>21</v>
      </c>
      <c r="C6" s="5" t="s">
        <v>427</v>
      </c>
      <c r="D6" s="5" t="s">
        <v>428</v>
      </c>
      <c r="E6" s="5" t="s">
        <v>429</v>
      </c>
      <c r="F6" s="5" t="s">
        <v>426</v>
      </c>
    </row>
    <row r="7" customFormat="false" ht="23.85" hidden="false" customHeight="false" outlineLevel="0" collapsed="false">
      <c r="A7" s="5" t="s">
        <v>299</v>
      </c>
      <c r="B7" s="21" t="s">
        <v>21</v>
      </c>
      <c r="C7" s="5" t="s">
        <v>430</v>
      </c>
      <c r="D7" s="5" t="s">
        <v>294</v>
      </c>
      <c r="E7" s="5" t="s">
        <v>431</v>
      </c>
      <c r="F7" s="5" t="s">
        <v>426</v>
      </c>
    </row>
    <row r="8" customFormat="false" ht="46.25" hidden="false" customHeight="false" outlineLevel="0" collapsed="false">
      <c r="A8" s="5" t="s">
        <v>362</v>
      </c>
      <c r="B8" s="21" t="s">
        <v>21</v>
      </c>
      <c r="C8" s="5" t="s">
        <v>432</v>
      </c>
      <c r="D8" s="5" t="s">
        <v>357</v>
      </c>
      <c r="E8" s="5" t="s">
        <v>433</v>
      </c>
      <c r="F8" s="5" t="s">
        <v>426</v>
      </c>
    </row>
    <row r="9" customFormat="false" ht="57.45" hidden="false" customHeight="false" outlineLevel="0" collapsed="false">
      <c r="A9" s="5" t="s">
        <v>434</v>
      </c>
      <c r="B9" s="21" t="s">
        <v>21</v>
      </c>
      <c r="C9" s="5" t="s">
        <v>435</v>
      </c>
      <c r="D9" s="5" t="s">
        <v>436</v>
      </c>
      <c r="E9" s="5" t="s">
        <v>437</v>
      </c>
      <c r="F9" s="22" t="s">
        <v>438</v>
      </c>
    </row>
    <row r="10" customFormat="false" ht="23.85" hidden="false" customHeight="false" outlineLevel="0" collapsed="false">
      <c r="A10" s="5" t="s">
        <v>147</v>
      </c>
      <c r="B10" s="23" t="s">
        <v>22</v>
      </c>
      <c r="C10" s="5" t="s">
        <v>439</v>
      </c>
      <c r="D10" s="5" t="s">
        <v>142</v>
      </c>
      <c r="E10" s="5" t="s">
        <v>440</v>
      </c>
      <c r="F10" s="5" t="s">
        <v>426</v>
      </c>
    </row>
    <row r="11" customFormat="false" ht="23.85" hidden="false" customHeight="false" outlineLevel="0" collapsed="false">
      <c r="A11" s="5" t="s">
        <v>173</v>
      </c>
      <c r="B11" s="23" t="s">
        <v>22</v>
      </c>
      <c r="C11" s="5" t="s">
        <v>441</v>
      </c>
      <c r="D11" s="5" t="s">
        <v>442</v>
      </c>
      <c r="E11" s="5" t="s">
        <v>443</v>
      </c>
      <c r="F11" s="5" t="s">
        <v>426</v>
      </c>
    </row>
    <row r="12" customFormat="false" ht="35.05" hidden="false" customHeight="false" outlineLevel="0" collapsed="false">
      <c r="A12" s="5" t="s">
        <v>179</v>
      </c>
      <c r="B12" s="23" t="s">
        <v>22</v>
      </c>
      <c r="C12" s="5" t="s">
        <v>444</v>
      </c>
      <c r="D12" s="5" t="s">
        <v>445</v>
      </c>
      <c r="E12" s="5" t="s">
        <v>446</v>
      </c>
      <c r="F12" s="5" t="s">
        <v>426</v>
      </c>
    </row>
    <row r="13" customFormat="false" ht="23.85" hidden="false" customHeight="false" outlineLevel="0" collapsed="false">
      <c r="A13" s="5" t="s">
        <v>213</v>
      </c>
      <c r="B13" s="23" t="s">
        <v>22</v>
      </c>
      <c r="C13" s="5" t="s">
        <v>447</v>
      </c>
      <c r="D13" s="5" t="s">
        <v>208</v>
      </c>
      <c r="E13" s="5" t="s">
        <v>448</v>
      </c>
      <c r="F13" s="5" t="s">
        <v>426</v>
      </c>
    </row>
    <row r="14" customFormat="false" ht="35.05" hidden="false" customHeight="false" outlineLevel="0" collapsed="false">
      <c r="A14" s="5" t="s">
        <v>229</v>
      </c>
      <c r="B14" s="23" t="s">
        <v>22</v>
      </c>
      <c r="C14" s="5" t="s">
        <v>449</v>
      </c>
      <c r="D14" s="5" t="s">
        <v>224</v>
      </c>
      <c r="E14" s="5" t="s">
        <v>450</v>
      </c>
      <c r="F14" s="5" t="s">
        <v>426</v>
      </c>
    </row>
    <row r="15" customFormat="false" ht="23.85" hidden="false" customHeight="false" outlineLevel="0" collapsed="false">
      <c r="A15" s="5" t="s">
        <v>246</v>
      </c>
      <c r="B15" s="23" t="s">
        <v>22</v>
      </c>
      <c r="C15" s="5" t="s">
        <v>451</v>
      </c>
      <c r="D15" s="5" t="s">
        <v>241</v>
      </c>
      <c r="E15" s="5" t="s">
        <v>452</v>
      </c>
      <c r="F15" s="22" t="s">
        <v>453</v>
      </c>
    </row>
    <row r="16" customFormat="false" ht="23.85" hidden="false" customHeight="false" outlineLevel="0" collapsed="false">
      <c r="A16" s="5" t="s">
        <v>368</v>
      </c>
      <c r="B16" s="23" t="s">
        <v>22</v>
      </c>
      <c r="C16" s="5" t="s">
        <v>454</v>
      </c>
      <c r="D16" s="5" t="s">
        <v>363</v>
      </c>
      <c r="E16" s="5" t="s">
        <v>455</v>
      </c>
      <c r="F16" s="22" t="s">
        <v>456</v>
      </c>
    </row>
    <row r="17" customFormat="false" ht="46.25" hidden="false" customHeight="false" outlineLevel="0" collapsed="false">
      <c r="A17" s="5" t="s">
        <v>457</v>
      </c>
      <c r="B17" s="23" t="s">
        <v>22</v>
      </c>
      <c r="C17" s="5" t="s">
        <v>458</v>
      </c>
      <c r="D17" s="5" t="s">
        <v>459</v>
      </c>
      <c r="E17" s="5" t="s">
        <v>460</v>
      </c>
      <c r="F17" s="22" t="s">
        <v>461</v>
      </c>
    </row>
    <row r="18" customFormat="false" ht="46.25" hidden="false" customHeight="false" outlineLevel="0" collapsed="false">
      <c r="A18" s="5" t="s">
        <v>462</v>
      </c>
      <c r="B18" s="23" t="s">
        <v>22</v>
      </c>
      <c r="C18" s="5" t="s">
        <v>463</v>
      </c>
      <c r="D18" s="5" t="s">
        <v>464</v>
      </c>
      <c r="E18" s="5" t="s">
        <v>465</v>
      </c>
      <c r="F18" s="5" t="s">
        <v>426</v>
      </c>
    </row>
    <row r="19" customFormat="false" ht="23.85" hidden="false" customHeight="false" outlineLevel="0" collapsed="false">
      <c r="A19" s="5" t="s">
        <v>136</v>
      </c>
      <c r="B19" s="24" t="s">
        <v>23</v>
      </c>
      <c r="C19" s="5" t="s">
        <v>466</v>
      </c>
      <c r="D19" s="5" t="s">
        <v>131</v>
      </c>
      <c r="E19" s="5" t="s">
        <v>467</v>
      </c>
      <c r="F19" s="5" t="s">
        <v>426</v>
      </c>
    </row>
    <row r="20" customFormat="false" ht="23.85" hidden="false" customHeight="false" outlineLevel="0" collapsed="false">
      <c r="A20" s="5" t="s">
        <v>196</v>
      </c>
      <c r="B20" s="24" t="s">
        <v>23</v>
      </c>
      <c r="C20" s="5" t="s">
        <v>468</v>
      </c>
      <c r="D20" s="5" t="s">
        <v>191</v>
      </c>
      <c r="E20" s="5" t="s">
        <v>469</v>
      </c>
      <c r="F20" s="5" t="s">
        <v>426</v>
      </c>
    </row>
    <row r="21" customFormat="false" ht="23.85" hidden="false" customHeight="false" outlineLevel="0" collapsed="false">
      <c r="A21" s="5" t="s">
        <v>235</v>
      </c>
      <c r="B21" s="24" t="s">
        <v>23</v>
      </c>
      <c r="C21" s="5" t="s">
        <v>470</v>
      </c>
      <c r="D21" s="5" t="s">
        <v>230</v>
      </c>
      <c r="E21" s="5" t="s">
        <v>471</v>
      </c>
      <c r="F21" s="5" t="s">
        <v>426</v>
      </c>
    </row>
    <row r="22" customFormat="false" ht="35.05" hidden="false" customHeight="false" outlineLevel="0" collapsed="false">
      <c r="A22" s="5" t="s">
        <v>267</v>
      </c>
      <c r="B22" s="24" t="s">
        <v>23</v>
      </c>
      <c r="C22" s="5" t="s">
        <v>472</v>
      </c>
      <c r="D22" s="5" t="s">
        <v>262</v>
      </c>
      <c r="E22" s="5" t="s">
        <v>473</v>
      </c>
      <c r="F22" s="5" t="s">
        <v>426</v>
      </c>
    </row>
    <row r="23" customFormat="false" ht="46.25" hidden="false" customHeight="false" outlineLevel="0" collapsed="false">
      <c r="A23" s="5" t="s">
        <v>293</v>
      </c>
      <c r="B23" s="24" t="s">
        <v>23</v>
      </c>
      <c r="C23" s="5" t="s">
        <v>474</v>
      </c>
      <c r="D23" s="5" t="s">
        <v>288</v>
      </c>
      <c r="E23" s="5" t="s">
        <v>475</v>
      </c>
      <c r="F23" s="5" t="s">
        <v>426</v>
      </c>
    </row>
    <row r="24" customFormat="false" ht="23.85" hidden="false" customHeight="false" outlineLevel="0" collapsed="false">
      <c r="A24" s="5" t="s">
        <v>335</v>
      </c>
      <c r="B24" s="24" t="s">
        <v>23</v>
      </c>
      <c r="C24" s="5" t="s">
        <v>476</v>
      </c>
      <c r="D24" s="5" t="s">
        <v>330</v>
      </c>
      <c r="E24" s="5" t="s">
        <v>477</v>
      </c>
      <c r="F24" s="5" t="s">
        <v>426</v>
      </c>
    </row>
    <row r="25" customFormat="false" ht="35.05" hidden="false" customHeight="false" outlineLevel="0" collapsed="false">
      <c r="A25" s="5" t="s">
        <v>351</v>
      </c>
      <c r="B25" s="24" t="s">
        <v>23</v>
      </c>
      <c r="C25" s="5" t="s">
        <v>478</v>
      </c>
      <c r="D25" s="5" t="s">
        <v>346</v>
      </c>
      <c r="E25" s="5" t="s">
        <v>479</v>
      </c>
      <c r="F25" s="5" t="s">
        <v>426</v>
      </c>
    </row>
    <row r="26" customFormat="false" ht="46.25" hidden="false" customHeight="false" outlineLevel="0" collapsed="false">
      <c r="A26" s="5" t="s">
        <v>480</v>
      </c>
      <c r="B26" s="24" t="s">
        <v>23</v>
      </c>
      <c r="C26" s="5" t="s">
        <v>481</v>
      </c>
      <c r="D26" s="5" t="s">
        <v>482</v>
      </c>
      <c r="E26" s="5" t="s">
        <v>483</v>
      </c>
      <c r="F26" s="22" t="s">
        <v>484</v>
      </c>
    </row>
  </sheetData>
  <autoFilter ref="A4:F2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6"/>
    <col collapsed="false" customWidth="true" hidden="false" outlineLevel="0" max="8" min="3" style="0" width="13"/>
  </cols>
  <sheetData>
    <row r="1" customFormat="false" ht="17.35" hidden="false" customHeight="false" outlineLevel="0" collapsed="false">
      <c r="A1" s="1" t="s">
        <v>485</v>
      </c>
    </row>
    <row r="2" customFormat="false" ht="15" hidden="false" customHeight="false" outlineLevel="0" collapsed="false">
      <c r="A2" s="2" t="s">
        <v>486</v>
      </c>
    </row>
    <row r="4" customFormat="false" ht="15" hidden="false" customHeight="false" outlineLevel="0" collapsed="false">
      <c r="A4" s="3" t="s">
        <v>487</v>
      </c>
    </row>
    <row r="5" customFormat="false" ht="30" hidden="false" customHeight="true" outlineLevel="0" collapsed="false">
      <c r="A5" s="4" t="s">
        <v>488</v>
      </c>
      <c r="B5" s="4" t="s">
        <v>120</v>
      </c>
      <c r="C5" s="4" t="s">
        <v>489</v>
      </c>
      <c r="D5" s="4"/>
      <c r="E5" s="4"/>
      <c r="F5" s="4"/>
      <c r="G5" s="4"/>
      <c r="H5" s="4"/>
    </row>
    <row r="6" customFormat="false" ht="75" hidden="false" customHeight="true" outlineLevel="0" collapsed="false">
      <c r="A6" s="5" t="s">
        <v>490</v>
      </c>
      <c r="B6" s="5" t="s">
        <v>491</v>
      </c>
      <c r="C6" s="5" t="s">
        <v>492</v>
      </c>
      <c r="D6" s="5"/>
      <c r="E6" s="5"/>
      <c r="F6" s="5"/>
      <c r="G6" s="5"/>
      <c r="H6" s="5"/>
    </row>
    <row r="7" customFormat="false" ht="60" hidden="false" customHeight="true" outlineLevel="0" collapsed="false">
      <c r="A7" s="5" t="s">
        <v>493</v>
      </c>
      <c r="B7" s="5" t="s">
        <v>494</v>
      </c>
      <c r="C7" s="5" t="s">
        <v>492</v>
      </c>
      <c r="D7" s="5"/>
      <c r="E7" s="5"/>
      <c r="F7" s="5"/>
      <c r="G7" s="5"/>
      <c r="H7" s="5"/>
    </row>
    <row r="8" customFormat="false" ht="45" hidden="false" customHeight="true" outlineLevel="0" collapsed="false">
      <c r="A8" s="5" t="s">
        <v>495</v>
      </c>
      <c r="B8" s="5" t="s">
        <v>457</v>
      </c>
      <c r="C8" s="5" t="s">
        <v>496</v>
      </c>
      <c r="D8" s="5"/>
      <c r="E8" s="5"/>
      <c r="F8" s="5"/>
      <c r="G8" s="5"/>
      <c r="H8" s="5"/>
    </row>
    <row r="9" customFormat="false" ht="60" hidden="false" customHeight="true" outlineLevel="0" collapsed="false">
      <c r="A9" s="5" t="s">
        <v>497</v>
      </c>
      <c r="B9" s="5" t="s">
        <v>457</v>
      </c>
      <c r="C9" s="5" t="s">
        <v>492</v>
      </c>
      <c r="D9" s="5"/>
      <c r="E9" s="5"/>
      <c r="F9" s="5"/>
      <c r="G9" s="5"/>
      <c r="H9" s="5"/>
    </row>
    <row r="10" customFormat="false" ht="60" hidden="false" customHeight="true" outlineLevel="0" collapsed="false">
      <c r="A10" s="5" t="s">
        <v>498</v>
      </c>
      <c r="B10" s="5" t="s">
        <v>499</v>
      </c>
      <c r="C10" s="5" t="s">
        <v>500</v>
      </c>
      <c r="D10" s="5"/>
      <c r="E10" s="5"/>
      <c r="F10" s="5"/>
      <c r="G10" s="5"/>
      <c r="H10" s="5"/>
    </row>
    <row r="11" customFormat="false" ht="60" hidden="false" customHeight="true" outlineLevel="0" collapsed="false">
      <c r="A11" s="5" t="s">
        <v>501</v>
      </c>
      <c r="B11" s="5" t="s">
        <v>480</v>
      </c>
      <c r="C11" s="5" t="s">
        <v>502</v>
      </c>
      <c r="D11" s="5"/>
      <c r="E11" s="5"/>
      <c r="F11" s="5"/>
      <c r="G11" s="5"/>
      <c r="H11" s="5"/>
    </row>
    <row r="12" customFormat="false" ht="45" hidden="false" customHeight="true" outlineLevel="0" collapsed="false">
      <c r="A12" s="5" t="s">
        <v>503</v>
      </c>
      <c r="B12" s="5" t="s">
        <v>434</v>
      </c>
      <c r="C12" s="5" t="s">
        <v>504</v>
      </c>
      <c r="D12" s="5"/>
      <c r="E12" s="5"/>
      <c r="F12" s="5"/>
      <c r="G12" s="5"/>
      <c r="H12" s="5"/>
    </row>
    <row r="13" customFormat="false" ht="45" hidden="false" customHeight="true" outlineLevel="0" collapsed="false">
      <c r="A13" s="5" t="s">
        <v>505</v>
      </c>
      <c r="B13" s="5" t="s">
        <v>506</v>
      </c>
      <c r="C13" s="5" t="s">
        <v>507</v>
      </c>
      <c r="D13" s="5"/>
      <c r="E13" s="5"/>
      <c r="F13" s="5"/>
      <c r="G13" s="5"/>
      <c r="H13" s="5"/>
    </row>
    <row r="15" customFormat="false" ht="15" hidden="false" customHeight="false" outlineLevel="0" collapsed="false">
      <c r="A15" s="3" t="s">
        <v>508</v>
      </c>
    </row>
    <row r="16" customFormat="false" ht="30" hidden="false" customHeight="true" outlineLevel="0" collapsed="false">
      <c r="A16" s="4" t="s">
        <v>509</v>
      </c>
      <c r="B16" s="4"/>
      <c r="C16" s="4" t="s">
        <v>510</v>
      </c>
      <c r="D16" s="4" t="s">
        <v>511</v>
      </c>
      <c r="E16" s="4" t="s">
        <v>512</v>
      </c>
      <c r="F16" s="4" t="s">
        <v>513</v>
      </c>
      <c r="G16" s="4" t="s">
        <v>514</v>
      </c>
      <c r="H16" s="4" t="s">
        <v>515</v>
      </c>
    </row>
    <row r="17" customFormat="false" ht="15" hidden="false" customHeight="false" outlineLevel="0" collapsed="false">
      <c r="A17" s="5" t="s">
        <v>516</v>
      </c>
      <c r="B17" s="5"/>
      <c r="C17" s="5" t="n">
        <v>28</v>
      </c>
      <c r="D17" s="5" t="n">
        <v>9</v>
      </c>
      <c r="E17" s="25" t="n">
        <v>10.5</v>
      </c>
      <c r="F17" s="25" t="n">
        <v>3.5</v>
      </c>
      <c r="G17" s="26" t="n">
        <f aca="false">IF(F17=0,0,E17/F17)</f>
        <v>3</v>
      </c>
      <c r="H17" s="5" t="str">
        <f aca="false">IF(OR(E17="",F17=""),"—",IF(F17&lt;E17,"лучше",IF(F17=E17,"без изменений","хуже")))</f>
        <v>лучше</v>
      </c>
    </row>
    <row r="18" customFormat="false" ht="15" hidden="false" customHeight="false" outlineLevel="0" collapsed="false">
      <c r="A18" s="5" t="s">
        <v>517</v>
      </c>
      <c r="B18" s="5"/>
      <c r="C18" s="5" t="n">
        <v>116</v>
      </c>
      <c r="D18" s="5" t="n">
        <v>9</v>
      </c>
      <c r="E18" s="25" t="n">
        <v>44.2</v>
      </c>
      <c r="F18" s="25" t="n">
        <v>5.7</v>
      </c>
      <c r="G18" s="26" t="n">
        <f aca="false">IF(F18=0,0,E18/F18)</f>
        <v>7.75438596491228</v>
      </c>
      <c r="H18" s="5" t="str">
        <f aca="false">IF(OR(E18="",F18=""),"—",IF(F18&lt;E18,"лучше",IF(F18=E18,"без изменений","хуже")))</f>
        <v>лучше</v>
      </c>
    </row>
    <row r="19" customFormat="false" ht="15" hidden="false" customHeight="false" outlineLevel="0" collapsed="false">
      <c r="A19" s="5" t="s">
        <v>518</v>
      </c>
      <c r="B19" s="5"/>
      <c r="C19" s="5" t="n">
        <v>9</v>
      </c>
      <c r="D19" s="5" t="n">
        <v>7</v>
      </c>
      <c r="E19" s="25" t="n">
        <v>3.9</v>
      </c>
      <c r="F19" s="25" t="n">
        <v>2.8</v>
      </c>
      <c r="G19" s="26" t="n">
        <f aca="false">IF(F19=0,0,E19/F19)</f>
        <v>1.39285714285714</v>
      </c>
      <c r="H19" s="5" t="str">
        <f aca="false">IF(OR(E19="",F19=""),"—",IF(F19&lt;E19,"лучше",IF(F19=E19,"без изменений","хуже")))</f>
        <v>лучше</v>
      </c>
    </row>
    <row r="20" customFormat="false" ht="15" hidden="false" customHeight="false" outlineLevel="0" collapsed="false">
      <c r="A20" s="5" t="s">
        <v>519</v>
      </c>
      <c r="B20" s="5"/>
      <c r="C20" s="5" t="n">
        <v>8</v>
      </c>
      <c r="D20" s="5" t="n">
        <v>6</v>
      </c>
      <c r="E20" s="25" t="n">
        <v>3.1</v>
      </c>
      <c r="F20" s="25" t="n">
        <v>2.5</v>
      </c>
      <c r="G20" s="26" t="n">
        <f aca="false">IF(F20=0,0,E20/F20)</f>
        <v>1.24</v>
      </c>
      <c r="H20" s="5" t="str">
        <f aca="false">IF(OR(E20="",F20=""),"—",IF(F20&lt;E20,"лучше",IF(F20=E20,"без изменений","хуже")))</f>
        <v>лучше</v>
      </c>
    </row>
    <row r="21" customFormat="false" ht="15" hidden="false" customHeight="false" outlineLevel="0" collapsed="false">
      <c r="A21" s="5" t="s">
        <v>520</v>
      </c>
      <c r="B21" s="5"/>
      <c r="C21" s="5" t="n">
        <v>28</v>
      </c>
      <c r="D21" s="5" t="n">
        <v>9</v>
      </c>
      <c r="E21" s="25" t="n">
        <v>10.4</v>
      </c>
      <c r="F21" s="25" t="n">
        <v>5.6</v>
      </c>
      <c r="G21" s="26" t="n">
        <f aca="false">IF(F21=0,0,E21/F21)</f>
        <v>1.85714285714286</v>
      </c>
      <c r="H21" s="5" t="str">
        <f aca="false">IF(OR(E21="",F21=""),"—",IF(F21&lt;E21,"лучше",IF(F21=E21,"без изменений","хуже")))</f>
        <v>лучше</v>
      </c>
    </row>
    <row r="22" customFormat="false" ht="15" hidden="false" customHeight="false" outlineLevel="0" collapsed="false">
      <c r="A22" s="5" t="s">
        <v>521</v>
      </c>
      <c r="B22" s="5"/>
      <c r="C22" s="5" t="n">
        <v>27</v>
      </c>
      <c r="D22" s="5" t="n">
        <v>9</v>
      </c>
      <c r="E22" s="25" t="n">
        <v>9.6</v>
      </c>
      <c r="F22" s="25" t="n">
        <v>5.2</v>
      </c>
      <c r="G22" s="26" t="n">
        <f aca="false">IF(F22=0,0,E22/F22)</f>
        <v>1.84615384615385</v>
      </c>
      <c r="H22" s="5" t="str">
        <f aca="false">IF(OR(E22="",F22=""),"—",IF(F22&lt;E22,"лучше",IF(F22=E22,"без изменений","хуже")))</f>
        <v>лучше</v>
      </c>
    </row>
    <row r="23" customFormat="false" ht="15" hidden="false" customHeight="false" outlineLevel="0" collapsed="false">
      <c r="A23" s="5" t="s">
        <v>522</v>
      </c>
      <c r="B23" s="5"/>
      <c r="C23" s="5" t="n">
        <v>23</v>
      </c>
      <c r="D23" s="5" t="n">
        <v>9</v>
      </c>
      <c r="E23" s="25" t="n">
        <v>6.7</v>
      </c>
      <c r="F23" s="25" t="n">
        <v>3</v>
      </c>
      <c r="G23" s="26" t="n">
        <f aca="false">IF(F23=0,0,E23/F23)</f>
        <v>2.23333333333333</v>
      </c>
      <c r="H23" s="5" t="str">
        <f aca="false">IF(OR(E23="",F23=""),"—",IF(F23&lt;E23,"лучше",IF(F23=E23,"без изменений","хуже")))</f>
        <v>лучше</v>
      </c>
    </row>
    <row r="24" customFormat="false" ht="15" hidden="false" customHeight="false" outlineLevel="0" collapsed="false">
      <c r="A24" s="5" t="s">
        <v>523</v>
      </c>
      <c r="B24" s="5"/>
      <c r="C24" s="5" t="n">
        <v>8</v>
      </c>
      <c r="D24" s="5" t="n">
        <v>6</v>
      </c>
      <c r="E24" s="25" t="n">
        <v>2.6</v>
      </c>
      <c r="F24" s="25" t="n">
        <v>2.3</v>
      </c>
      <c r="G24" s="26" t="n">
        <f aca="false">IF(F24=0,0,E24/F24)</f>
        <v>1.1304347826087</v>
      </c>
      <c r="H24" s="5" t="str">
        <f aca="false">IF(OR(E24="",F24=""),"—",IF(F24&lt;E24,"лучше",IF(F24=E24,"без изменений","хуже")))</f>
        <v>лучше</v>
      </c>
    </row>
    <row r="25" customFormat="false" ht="15" hidden="false" customHeight="false" outlineLevel="0" collapsed="false">
      <c r="A25" s="5" t="s">
        <v>524</v>
      </c>
      <c r="B25" s="5"/>
      <c r="C25" s="5" t="n">
        <v>10</v>
      </c>
      <c r="D25" s="5" t="n">
        <v>8</v>
      </c>
      <c r="E25" s="25" t="n">
        <v>5</v>
      </c>
      <c r="F25" s="25" t="n">
        <v>5.9</v>
      </c>
      <c r="G25" s="26" t="n">
        <f aca="false">IF(F25=0,0,E25/F25)</f>
        <v>0.847457627118644</v>
      </c>
      <c r="H25" s="5" t="str">
        <f aca="false">IF(OR(E25="",F25=""),"—",IF(F25&lt;E25,"лучше",IF(F25=E25,"без изменений","хуже")))</f>
        <v>хуже</v>
      </c>
    </row>
    <row r="33" customFormat="false" ht="15" hidden="false" customHeight="false" outlineLevel="0" collapsed="false">
      <c r="A33" s="3" t="s">
        <v>525</v>
      </c>
    </row>
    <row r="34" customFormat="false" ht="30" hidden="false" customHeight="true" outlineLevel="0" collapsed="false">
      <c r="A34" s="4" t="s">
        <v>509</v>
      </c>
      <c r="B34" s="4"/>
      <c r="C34" s="4" t="s">
        <v>510</v>
      </c>
      <c r="D34" s="4" t="s">
        <v>511</v>
      </c>
      <c r="E34" s="4" t="s">
        <v>512</v>
      </c>
      <c r="F34" s="4" t="s">
        <v>513</v>
      </c>
      <c r="G34" s="4" t="s">
        <v>514</v>
      </c>
      <c r="H34" s="4" t="s">
        <v>515</v>
      </c>
    </row>
    <row r="35" customFormat="false" ht="15" hidden="false" customHeight="false" outlineLevel="0" collapsed="false">
      <c r="A35" s="5" t="s">
        <v>516</v>
      </c>
      <c r="B35" s="5"/>
      <c r="C35" s="5" t="n">
        <v>56</v>
      </c>
      <c r="D35" s="5" t="n">
        <v>9</v>
      </c>
      <c r="E35" s="25" t="n">
        <v>17.9</v>
      </c>
      <c r="F35" s="25" t="n">
        <v>6</v>
      </c>
      <c r="G35" s="26" t="n">
        <f aca="false">IF(F35=0,0,E35/F35)</f>
        <v>2.98333333333333</v>
      </c>
      <c r="H35" s="5" t="str">
        <f aca="false">IF(OR(E35="",F35=""),"—",IF(F35&lt;E35,"лучше",IF(F35=E35,"без изменений","хуже")))</f>
        <v>лучше</v>
      </c>
    </row>
    <row r="36" customFormat="false" ht="15" hidden="false" customHeight="false" outlineLevel="0" collapsed="false">
      <c r="A36" s="5" t="s">
        <v>517</v>
      </c>
      <c r="B36" s="5"/>
      <c r="C36" s="5" t="n">
        <v>389</v>
      </c>
      <c r="D36" s="5" t="n">
        <v>11</v>
      </c>
      <c r="E36" s="25" t="n">
        <v>102.8</v>
      </c>
      <c r="F36" s="25" t="n">
        <v>11.8</v>
      </c>
      <c r="G36" s="26" t="n">
        <f aca="false">IF(F36=0,0,E36/F36)</f>
        <v>8.71186440677966</v>
      </c>
      <c r="H36" s="5" t="str">
        <f aca="false">IF(OR(E36="",F36=""),"—",IF(F36&lt;E36,"лучше",IF(F36=E36,"без изменений","хуже")))</f>
        <v>лучше</v>
      </c>
    </row>
    <row r="37" customFormat="false" ht="15" hidden="false" customHeight="false" outlineLevel="0" collapsed="false">
      <c r="A37" s="5" t="s">
        <v>518</v>
      </c>
      <c r="B37" s="5"/>
      <c r="C37" s="5" t="n">
        <v>57</v>
      </c>
      <c r="D37" s="5" t="n">
        <v>9</v>
      </c>
      <c r="E37" s="25" t="n">
        <v>26.9</v>
      </c>
      <c r="F37" s="25" t="n">
        <v>17.7</v>
      </c>
      <c r="G37" s="26" t="n">
        <f aca="false">IF(F37=0,0,E37/F37)</f>
        <v>1.51977401129944</v>
      </c>
      <c r="H37" s="5" t="str">
        <f aca="false">IF(OR(E37="",F37=""),"—",IF(F37&lt;E37,"лучше",IF(F37=E37,"без изменений","хуже")))</f>
        <v>лучше</v>
      </c>
    </row>
    <row r="38" customFormat="false" ht="15" hidden="false" customHeight="false" outlineLevel="0" collapsed="false">
      <c r="A38" s="5" t="s">
        <v>519</v>
      </c>
      <c r="B38" s="5"/>
      <c r="C38" s="5" t="n">
        <v>56</v>
      </c>
      <c r="D38" s="5" t="n">
        <v>9</v>
      </c>
      <c r="E38" s="25" t="n">
        <v>32.8</v>
      </c>
      <c r="F38" s="25" t="n">
        <v>12.2</v>
      </c>
      <c r="G38" s="26" t="n">
        <f aca="false">IF(F38=0,0,E38/F38)</f>
        <v>2.68852459016393</v>
      </c>
      <c r="H38" s="5" t="str">
        <f aca="false">IF(OR(E38="",F38=""),"—",IF(F38&lt;E38,"лучше",IF(F38=E38,"без изменений","хуже")))</f>
        <v>лучше</v>
      </c>
    </row>
    <row r="39" customFormat="false" ht="15" hidden="false" customHeight="false" outlineLevel="0" collapsed="false">
      <c r="A39" s="5" t="s">
        <v>520</v>
      </c>
      <c r="B39" s="5"/>
      <c r="C39" s="5" t="n">
        <v>28</v>
      </c>
      <c r="D39" s="5" t="n">
        <v>9</v>
      </c>
      <c r="E39" s="25" t="n">
        <v>10.4</v>
      </c>
      <c r="F39" s="25" t="n">
        <v>5.8</v>
      </c>
      <c r="G39" s="26" t="n">
        <f aca="false">IF(F39=0,0,E39/F39)</f>
        <v>1.79310344827586</v>
      </c>
      <c r="H39" s="5" t="str">
        <f aca="false">IF(OR(E39="",F39=""),"—",IF(F39&lt;E39,"лучше",IF(F39=E39,"без изменений","хуже")))</f>
        <v>лучше</v>
      </c>
    </row>
    <row r="40" customFormat="false" ht="15" hidden="false" customHeight="false" outlineLevel="0" collapsed="false">
      <c r="A40" s="5" t="s">
        <v>521</v>
      </c>
      <c r="B40" s="5"/>
      <c r="C40" s="5" t="n">
        <v>57</v>
      </c>
      <c r="D40" s="5" t="n">
        <v>9</v>
      </c>
      <c r="E40" s="25" t="n">
        <v>35.7</v>
      </c>
      <c r="F40" s="25" t="n">
        <v>7.4</v>
      </c>
      <c r="G40" s="26" t="n">
        <f aca="false">IF(F40=0,0,E40/F40)</f>
        <v>4.82432432432433</v>
      </c>
      <c r="H40" s="5" t="str">
        <f aca="false">IF(OR(E40="",F40=""),"—",IF(F40&lt;E40,"лучше",IF(F40=E40,"без изменений","хуже")))</f>
        <v>лучше</v>
      </c>
    </row>
    <row r="41" customFormat="false" ht="15" hidden="false" customHeight="false" outlineLevel="0" collapsed="false">
      <c r="A41" s="5" t="s">
        <v>522</v>
      </c>
      <c r="B41" s="5"/>
      <c r="C41" s="5" t="n">
        <v>23</v>
      </c>
      <c r="D41" s="5" t="n">
        <v>9</v>
      </c>
      <c r="E41" s="25" t="n">
        <v>7.4</v>
      </c>
      <c r="F41" s="25" t="n">
        <v>3.4</v>
      </c>
      <c r="G41" s="26" t="n">
        <f aca="false">IF(F41=0,0,E41/F41)</f>
        <v>2.17647058823529</v>
      </c>
      <c r="H41" s="5" t="str">
        <f aca="false">IF(OR(E41="",F41=""),"—",IF(F41&lt;E41,"лучше",IF(F41=E41,"без изменений","хуже")))</f>
        <v>лучше</v>
      </c>
    </row>
    <row r="42" customFormat="false" ht="15" hidden="false" customHeight="false" outlineLevel="0" collapsed="false">
      <c r="A42" s="5" t="s">
        <v>523</v>
      </c>
      <c r="B42" s="5"/>
      <c r="C42" s="5" t="n">
        <v>22</v>
      </c>
      <c r="D42" s="5" t="n">
        <v>9</v>
      </c>
      <c r="E42" s="25" t="n">
        <v>10.4</v>
      </c>
      <c r="F42" s="25" t="n">
        <v>5.1</v>
      </c>
      <c r="G42" s="26" t="n">
        <f aca="false">IF(F42=0,0,E42/F42)</f>
        <v>2.03921568627451</v>
      </c>
      <c r="H42" s="5" t="str">
        <f aca="false">IF(OR(E42="",F42=""),"—",IF(F42&lt;E42,"лучше",IF(F42=E42,"без изменений","хуже")))</f>
        <v>лучше</v>
      </c>
    </row>
    <row r="43" customFormat="false" ht="15" hidden="false" customHeight="false" outlineLevel="0" collapsed="false">
      <c r="A43" s="5" t="s">
        <v>524</v>
      </c>
      <c r="B43" s="5"/>
      <c r="C43" s="5" t="n">
        <v>31</v>
      </c>
      <c r="D43" s="5" t="n">
        <v>10</v>
      </c>
      <c r="E43" s="25" t="n">
        <v>14.8</v>
      </c>
      <c r="F43" s="25" t="n">
        <v>12.3</v>
      </c>
      <c r="G43" s="26" t="n">
        <f aca="false">IF(F43=0,0,E43/F43)</f>
        <v>1.20325203252033</v>
      </c>
      <c r="H43" s="5" t="str">
        <f aca="false">IF(OR(E43="",F43=""),"—",IF(F43&lt;E43,"лучше",IF(F43=E43,"без изменений","хуже")))</f>
        <v>лучше</v>
      </c>
    </row>
    <row r="51" customFormat="false" ht="15" hidden="false" customHeight="false" outlineLevel="0" collapsed="false">
      <c r="A51" s="3" t="s">
        <v>526</v>
      </c>
    </row>
    <row r="52" customFormat="false" ht="30" hidden="false" customHeight="true" outlineLevel="0" collapsed="false">
      <c r="A52" s="4" t="s">
        <v>25</v>
      </c>
      <c r="B52" s="4" t="s">
        <v>527</v>
      </c>
      <c r="C52" s="4" t="s">
        <v>528</v>
      </c>
      <c r="D52" s="4" t="s">
        <v>529</v>
      </c>
      <c r="E52" s="4" t="s">
        <v>488</v>
      </c>
      <c r="F52" s="4" t="s">
        <v>515</v>
      </c>
    </row>
    <row r="53" customFormat="false" ht="23.85" hidden="false" customHeight="false" outlineLevel="0" collapsed="false">
      <c r="A53" s="5" t="s">
        <v>36</v>
      </c>
      <c r="B53" s="5" t="s">
        <v>530</v>
      </c>
      <c r="C53" s="27" t="n">
        <v>1468.1</v>
      </c>
      <c r="D53" s="27" t="n">
        <v>3829.6</v>
      </c>
      <c r="E53" s="28" t="n">
        <f aca="false">IF(OR(C53="",C53=0,D53=""),"—",(D53-C53)/C53)</f>
        <v>1.60854165247599</v>
      </c>
      <c r="F53" s="5" t="str">
        <f aca="false">IF(OR(C53="",D53=""),"—",IF(D53&gt;C53,"лучше",IF(D53=C53,"без изменений","хуже")))</f>
        <v>лучше</v>
      </c>
    </row>
    <row r="54" customFormat="false" ht="23.85" hidden="false" customHeight="false" outlineLevel="0" collapsed="false">
      <c r="A54" s="5" t="s">
        <v>36</v>
      </c>
      <c r="B54" s="5" t="s">
        <v>531</v>
      </c>
      <c r="C54" s="27" t="n">
        <v>2732.2</v>
      </c>
      <c r="D54" s="27" t="n">
        <v>3.2</v>
      </c>
      <c r="E54" s="28" t="n">
        <f aca="false">IF(OR(C54="",C54=0,D54=""),"—",(D54-C54)/C54)</f>
        <v>-0.998828782665984</v>
      </c>
      <c r="F54" s="5" t="str">
        <f aca="false">IF(OR(C54="",D54=""),"—",IF(D54&lt;C54,"лучше",IF(D54=C54,"без изменений","хуже")))</f>
        <v>лучше</v>
      </c>
    </row>
    <row r="55" customFormat="false" ht="23.85" hidden="false" customHeight="false" outlineLevel="0" collapsed="false">
      <c r="A55" s="5" t="s">
        <v>36</v>
      </c>
      <c r="B55" s="5" t="s">
        <v>532</v>
      </c>
      <c r="C55" s="27" t="n">
        <v>2692</v>
      </c>
      <c r="D55" s="27" t="n">
        <v>3.4</v>
      </c>
      <c r="E55" s="28" t="n">
        <f aca="false">IF(OR(C55="",C55=0,D55=""),"—",(D55-C55)/C55)</f>
        <v>-0.998736998514116</v>
      </c>
      <c r="F55" s="5" t="str">
        <f aca="false">IF(OR(C55="",D55=""),"—",IF(D55&lt;C55,"лучше",IF(D55=C55,"без изменений","хуже")))</f>
        <v>лучше</v>
      </c>
    </row>
    <row r="56" customFormat="false" ht="23.85" hidden="false" customHeight="false" outlineLevel="0" collapsed="false">
      <c r="A56" s="5" t="s">
        <v>36</v>
      </c>
      <c r="B56" s="5" t="s">
        <v>533</v>
      </c>
      <c r="C56" s="27" t="n">
        <v>2138.2</v>
      </c>
      <c r="D56" s="27" t="n">
        <v>826.7</v>
      </c>
      <c r="E56" s="28" t="n">
        <f aca="false">IF(OR(C56="",C56=0,D56=""),"—",(D56-C56)/C56)</f>
        <v>-0.613366382938921</v>
      </c>
      <c r="F56" s="5" t="str">
        <f aca="false">IF(OR(C56="",D56=""),"—",IF(D56&lt;C56,"лучше",IF(D56=C56,"без изменений","хуже")))</f>
        <v>лучше</v>
      </c>
    </row>
    <row r="57" customFormat="false" ht="15" hidden="false" customHeight="false" outlineLevel="0" collapsed="false">
      <c r="A57" s="5" t="s">
        <v>36</v>
      </c>
      <c r="B57" s="5" t="s">
        <v>534</v>
      </c>
      <c r="C57" s="27" t="n">
        <v>0</v>
      </c>
      <c r="D57" s="27" t="n">
        <v>0</v>
      </c>
      <c r="E57" s="28" t="str">
        <f aca="false">IF(OR(C57="",C57=0,D57=""),"—",(D57-C57)/C57)</f>
        <v>—</v>
      </c>
      <c r="F57" s="5" t="str">
        <f aca="false">IF(OR(C57="",D57=""),"—",IF(D57&lt;C57,"лучше",IF(D57=C57,"без изменений","хуже")))</f>
        <v>без изменений</v>
      </c>
    </row>
    <row r="58" customFormat="false" ht="23.85" hidden="false" customHeight="false" outlineLevel="0" collapsed="false">
      <c r="A58" s="5" t="s">
        <v>36</v>
      </c>
      <c r="B58" s="5" t="s">
        <v>535</v>
      </c>
      <c r="C58" s="27" t="n">
        <v>12.6</v>
      </c>
      <c r="D58" s="27" t="n">
        <v>5.6</v>
      </c>
      <c r="E58" s="28" t="n">
        <f aca="false">IF(OR(C58="",C58=0,D58=""),"—",(D58-C58)/C58)</f>
        <v>-0.555555555555556</v>
      </c>
      <c r="F58" s="5" t="str">
        <f aca="false">IF(OR(C58="",D58=""),"—",IF(D58&lt;C58,"лучше",IF(D58=C58,"без изменений","хуже")))</f>
        <v>лучше</v>
      </c>
    </row>
    <row r="59" customFormat="false" ht="15" hidden="false" customHeight="false" outlineLevel="0" collapsed="false">
      <c r="A59" s="5" t="s">
        <v>35</v>
      </c>
      <c r="B59" s="5" t="s">
        <v>536</v>
      </c>
      <c r="C59" s="27" t="n">
        <v>15.02</v>
      </c>
      <c r="D59" s="27" t="n">
        <v>6.86</v>
      </c>
      <c r="E59" s="28" t="n">
        <f aca="false">IF(OR(C59="",C59=0,D59=""),"—",(D59-C59)/C59)</f>
        <v>-0.543275632490013</v>
      </c>
      <c r="F59" s="5" t="str">
        <f aca="false">IF(OR(C59="",D59=""),"—",IF(D59&lt;C59,"лучше",IF(D59=C59,"без изменений","хуже")))</f>
        <v>лучше</v>
      </c>
    </row>
    <row r="60" customFormat="false" ht="15" hidden="false" customHeight="false" outlineLevel="0" collapsed="false">
      <c r="A60" s="5" t="s">
        <v>35</v>
      </c>
      <c r="B60" s="5" t="s">
        <v>537</v>
      </c>
      <c r="C60" s="27" t="n">
        <v>12.4</v>
      </c>
      <c r="D60" s="27" t="n">
        <v>6.3</v>
      </c>
      <c r="E60" s="28" t="n">
        <f aca="false">IF(OR(C60="",C60=0,D60=""),"—",(D60-C60)/C60)</f>
        <v>-0.491935483870968</v>
      </c>
      <c r="F60" s="5" t="str">
        <f aca="false">IF(OR(C60="",D60=""),"—",IF(D60&lt;C60,"лучше",IF(D60=C60,"без изменений","хуже")))</f>
        <v>лучше</v>
      </c>
    </row>
    <row r="61" customFormat="false" ht="15" hidden="false" customHeight="false" outlineLevel="0" collapsed="false">
      <c r="A61" s="5" t="s">
        <v>35</v>
      </c>
      <c r="B61" s="5" t="s">
        <v>538</v>
      </c>
      <c r="C61" s="27" t="n">
        <v>97.4</v>
      </c>
      <c r="D61" s="27" t="n">
        <v>55.7</v>
      </c>
      <c r="E61" s="28" t="n">
        <f aca="false">IF(OR(C61="",C61=0,D61=""),"—",(D61-C61)/C61)</f>
        <v>-0.428131416837782</v>
      </c>
      <c r="F61" s="5" t="str">
        <f aca="false">IF(OR(C61="",D61=""),"—",IF(D61&lt;C61,"лучше",IF(D61=C61,"без изменений","хуже")))</f>
        <v>лучше</v>
      </c>
    </row>
    <row r="62" customFormat="false" ht="15" hidden="false" customHeight="false" outlineLevel="0" collapsed="false">
      <c r="A62" s="5" t="s">
        <v>35</v>
      </c>
      <c r="B62" s="5" t="s">
        <v>539</v>
      </c>
      <c r="C62" s="27" t="n">
        <v>80.1</v>
      </c>
      <c r="D62" s="27" t="n">
        <v>55.8</v>
      </c>
      <c r="E62" s="28" t="n">
        <f aca="false">IF(OR(C62="",C62=0,D62=""),"—",(D62-C62)/C62)</f>
        <v>-0.303370786516854</v>
      </c>
      <c r="F62" s="5" t="str">
        <f aca="false">IF(OR(C62="",D62=""),"—",IF(D62&lt;C62,"лучше",IF(D62=C62,"без изменений","хуже")))</f>
        <v>лучше</v>
      </c>
    </row>
    <row r="63" customFormat="false" ht="23.85" hidden="false" customHeight="false" outlineLevel="0" collapsed="false">
      <c r="A63" s="5" t="s">
        <v>35</v>
      </c>
      <c r="B63" s="5" t="s">
        <v>535</v>
      </c>
      <c r="C63" s="27" t="n">
        <v>12.5</v>
      </c>
      <c r="D63" s="27" t="n">
        <v>5.6</v>
      </c>
      <c r="E63" s="28" t="n">
        <f aca="false">IF(OR(C63="",C63=0,D63=""),"—",(D63-C63)/C63)</f>
        <v>-0.552</v>
      </c>
      <c r="F63" s="5" t="str">
        <f aca="false">IF(OR(C63="",D63=""),"—",IF(D63&lt;C63,"лучше",IF(D63=C63,"без изменений","хуже")))</f>
        <v>лучше</v>
      </c>
    </row>
    <row r="64" customFormat="false" ht="23.85" hidden="false" customHeight="false" outlineLevel="0" collapsed="false">
      <c r="A64" s="5" t="s">
        <v>42</v>
      </c>
      <c r="B64" s="5" t="s">
        <v>540</v>
      </c>
      <c r="C64" s="27" t="n">
        <v>9.19</v>
      </c>
      <c r="D64" s="27" t="n">
        <v>7.93</v>
      </c>
      <c r="E64" s="28" t="n">
        <f aca="false">IF(OR(C64="",C64=0,D64=""),"—",(D64-C64)/C64)</f>
        <v>-0.137105549510337</v>
      </c>
      <c r="F64" s="5" t="str">
        <f aca="false">IF(OR(C64="",D64=""),"—",IF(D64&lt;C64,"лучше",IF(D64=C64,"без изменений","хуже")))</f>
        <v>лучше</v>
      </c>
    </row>
    <row r="65" customFormat="false" ht="23.85" hidden="false" customHeight="false" outlineLevel="0" collapsed="false">
      <c r="A65" s="5" t="s">
        <v>43</v>
      </c>
      <c r="B65" s="5" t="s">
        <v>541</v>
      </c>
      <c r="C65" s="27" t="n">
        <v>27.71</v>
      </c>
      <c r="D65" s="27" t="n">
        <v>29.81</v>
      </c>
      <c r="E65" s="28" t="n">
        <f aca="false">IF(OR(C65="",C65=0,D65=""),"—",(D65-C65)/C65)</f>
        <v>0.075784915193071</v>
      </c>
      <c r="F65" s="5" t="str">
        <f aca="false">IF(OR(C65="",D65=""),"—",IF(D65&lt;C65,"лучше",IF(D65=C65,"без изменений","хуже")))</f>
        <v>хуже</v>
      </c>
    </row>
    <row r="66" customFormat="false" ht="15" hidden="false" customHeight="false" outlineLevel="0" collapsed="false">
      <c r="A66" s="5" t="s">
        <v>43</v>
      </c>
      <c r="B66" s="5" t="s">
        <v>542</v>
      </c>
      <c r="C66" s="27" t="n">
        <v>31.82</v>
      </c>
      <c r="D66" s="27" t="n">
        <v>40.45</v>
      </c>
      <c r="E66" s="28" t="n">
        <f aca="false">IF(OR(C66="",C66=0,D66=""),"—",(D66-C66)/C66)</f>
        <v>0.271213073538655</v>
      </c>
      <c r="F66" s="5" t="str">
        <f aca="false">IF(OR(C66="",D66=""),"—",IF(D66&lt;C66,"лучше",IF(D66=C66,"без изменений","хуже")))</f>
        <v>хуже</v>
      </c>
    </row>
    <row r="67" customFormat="false" ht="23.85" hidden="false" customHeight="false" outlineLevel="0" collapsed="false">
      <c r="A67" s="5" t="s">
        <v>43</v>
      </c>
      <c r="B67" s="5" t="s">
        <v>543</v>
      </c>
      <c r="C67" s="27" t="n">
        <v>30.9</v>
      </c>
      <c r="D67" s="27" t="n">
        <v>28.3</v>
      </c>
      <c r="E67" s="28" t="n">
        <f aca="false">IF(OR(C67="",C67=0,D67=""),"—",(D67-C67)/C67)</f>
        <v>-0.0841423948220064</v>
      </c>
      <c r="F67" s="5" t="str">
        <f aca="false">IF(OR(C67="",D67=""),"—",IF(D67&lt;C67,"лучше",IF(D67=C67,"без изменений","хуже")))</f>
        <v>лучше</v>
      </c>
    </row>
    <row r="68" customFormat="false" ht="23.85" hidden="false" customHeight="false" outlineLevel="0" collapsed="false">
      <c r="A68" s="5" t="s">
        <v>43</v>
      </c>
      <c r="B68" s="5" t="s">
        <v>544</v>
      </c>
      <c r="C68" s="27" t="n">
        <v>17.1</v>
      </c>
      <c r="D68" s="27" t="n">
        <v>5.7</v>
      </c>
      <c r="E68" s="28" t="n">
        <f aca="false">IF(OR(C68="",C68=0,D68=""),"—",(D68-C68)/C68)</f>
        <v>-0.666666666666667</v>
      </c>
      <c r="F68" s="5" t="str">
        <f aca="false">IF(OR(C68="",D68=""),"—",IF(D68&lt;C68,"лучше",IF(D68=C68,"без изменений","хуже")))</f>
        <v>лучше</v>
      </c>
    </row>
    <row r="69" customFormat="false" ht="23.85" hidden="false" customHeight="false" outlineLevel="0" collapsed="false">
      <c r="A69" s="5" t="s">
        <v>34</v>
      </c>
      <c r="B69" s="5" t="s">
        <v>545</v>
      </c>
      <c r="C69" s="27" t="n">
        <v>17.52</v>
      </c>
      <c r="D69" s="27" t="n">
        <v>5.58</v>
      </c>
      <c r="E69" s="28" t="n">
        <f aca="false">IF(OR(C69="",C69=0,D69=""),"—",(D69-C69)/C69)</f>
        <v>-0.681506849315068</v>
      </c>
      <c r="F69" s="5" t="str">
        <f aca="false">IF(OR(C69="",D69=""),"—",IF(D69&lt;C69,"лучше",IF(D69=C69,"без изменений","хуже")))</f>
        <v>лучше</v>
      </c>
    </row>
    <row r="70" customFormat="false" ht="23.85" hidden="false" customHeight="false" outlineLevel="0" collapsed="false">
      <c r="A70" s="5" t="s">
        <v>34</v>
      </c>
      <c r="B70" s="5" t="s">
        <v>30</v>
      </c>
      <c r="C70" s="27" t="n">
        <v>34.41</v>
      </c>
      <c r="D70" s="27" t="n">
        <v>16.26</v>
      </c>
      <c r="E70" s="28" t="n">
        <f aca="false">IF(OR(C70="",C70=0,D70=""),"—",(D70-C70)/C70)</f>
        <v>-0.527462946817785</v>
      </c>
      <c r="F70" s="5" t="str">
        <f aca="false">IF(OR(C70="",D70=""),"—",IF(D70&lt;C70,"лучше",IF(D70=C70,"без изменений","хуже")))</f>
        <v>лучше</v>
      </c>
    </row>
    <row r="71" customFormat="false" ht="23.85" hidden="false" customHeight="false" outlineLevel="0" collapsed="false">
      <c r="A71" s="5" t="s">
        <v>34</v>
      </c>
      <c r="B71" s="5" t="s">
        <v>534</v>
      </c>
      <c r="C71" s="27" t="n">
        <v>0</v>
      </c>
      <c r="D71" s="27" t="n">
        <v>0</v>
      </c>
      <c r="E71" s="28" t="str">
        <f aca="false">IF(OR(C71="",C71=0,D71=""),"—",(D71-C71)/C71)</f>
        <v>—</v>
      </c>
      <c r="F71" s="5" t="str">
        <f aca="false">IF(OR(C71="",D71=""),"—",IF(D71&lt;C71,"лучше",IF(D71=C71,"без изменений","хуже")))</f>
        <v>без изменений</v>
      </c>
    </row>
    <row r="72" customFormat="false" ht="23.85" hidden="false" customHeight="false" outlineLevel="0" collapsed="false">
      <c r="A72" s="5" t="s">
        <v>38</v>
      </c>
      <c r="B72" s="5" t="s">
        <v>546</v>
      </c>
      <c r="C72" s="27" t="n">
        <v>987.93</v>
      </c>
      <c r="D72" s="27" t="n">
        <v>121.46</v>
      </c>
      <c r="E72" s="28" t="n">
        <f aca="false">IF(OR(C72="",C72=0,D72=""),"—",(D72-C72)/C72)</f>
        <v>-0.877056066725375</v>
      </c>
      <c r="F72" s="5" t="str">
        <f aca="false">IF(OR(C72="",D72=""),"—",IF(D72&lt;C72,"лучше",IF(D72=C72,"без изменений","хуже")))</f>
        <v>лучше</v>
      </c>
    </row>
    <row r="73" customFormat="false" ht="15" hidden="false" customHeight="false" outlineLevel="0" collapsed="false">
      <c r="A73" s="5" t="s">
        <v>38</v>
      </c>
      <c r="B73" s="5" t="s">
        <v>534</v>
      </c>
      <c r="C73" s="27" t="n">
        <v>0</v>
      </c>
      <c r="D73" s="27" t="n">
        <v>0</v>
      </c>
      <c r="E73" s="28" t="str">
        <f aca="false">IF(OR(C73="",C73=0,D73=""),"—",(D73-C73)/C73)</f>
        <v>—</v>
      </c>
      <c r="F73" s="5" t="str">
        <f aca="false">IF(OR(C73="",D73=""),"—",IF(D73&lt;C73,"лучше",IF(D73=C73,"без изменений","хуже")))</f>
        <v>без изменений</v>
      </c>
    </row>
    <row r="75" customFormat="false" ht="15" hidden="false" customHeight="false" outlineLevel="0" collapsed="false">
      <c r="A75" s="3" t="s">
        <v>547</v>
      </c>
    </row>
    <row r="76" customFormat="false" ht="30" hidden="false" customHeight="true" outlineLevel="0" collapsed="false">
      <c r="A76" s="4" t="s">
        <v>548</v>
      </c>
      <c r="B76" s="4" t="s">
        <v>549</v>
      </c>
      <c r="C76" s="4" t="s">
        <v>550</v>
      </c>
      <c r="D76" s="4" t="s">
        <v>551</v>
      </c>
      <c r="E76" s="4" t="s">
        <v>552</v>
      </c>
      <c r="F76" s="4" t="s">
        <v>512</v>
      </c>
      <c r="G76" s="4" t="s">
        <v>513</v>
      </c>
      <c r="H76" s="4" t="s">
        <v>553</v>
      </c>
    </row>
    <row r="77" customFormat="false" ht="15" hidden="false" customHeight="false" outlineLevel="0" collapsed="false">
      <c r="A77" s="5" t="n">
        <v>1000</v>
      </c>
      <c r="B77" s="27" t="n">
        <v>1283.6</v>
      </c>
      <c r="C77" s="27" t="n">
        <v>1308.3</v>
      </c>
      <c r="D77" s="27" t="n">
        <v>3.8</v>
      </c>
      <c r="E77" s="27" t="n">
        <v>3.1</v>
      </c>
      <c r="F77" s="27" t="n">
        <v>11.7</v>
      </c>
      <c r="G77" s="27" t="n">
        <v>5.9</v>
      </c>
      <c r="H77" s="29" t="n">
        <v>0</v>
      </c>
    </row>
    <row r="78" customFormat="false" ht="15" hidden="false" customHeight="false" outlineLevel="0" collapsed="false">
      <c r="A78" s="5" t="n">
        <v>1500</v>
      </c>
      <c r="B78" s="27" t="n">
        <v>1168.5</v>
      </c>
      <c r="C78" s="27" t="n">
        <v>1973</v>
      </c>
      <c r="D78" s="27" t="n">
        <v>2732.2</v>
      </c>
      <c r="E78" s="27" t="n">
        <v>3.2</v>
      </c>
      <c r="F78" s="27" t="n">
        <v>3101.4</v>
      </c>
      <c r="G78" s="27" t="n">
        <v>6.8</v>
      </c>
      <c r="H78" s="29" t="n">
        <v>0</v>
      </c>
    </row>
    <row r="79" customFormat="false" ht="15" hidden="false" customHeight="false" outlineLevel="0" collapsed="false">
      <c r="A79" s="5" t="n">
        <v>2000</v>
      </c>
      <c r="B79" s="27" t="n">
        <v>1213.4</v>
      </c>
      <c r="C79" s="27" t="n">
        <v>2695.8</v>
      </c>
      <c r="D79" s="27" t="n">
        <v>2692</v>
      </c>
      <c r="E79" s="27" t="n">
        <v>3.4</v>
      </c>
      <c r="F79" s="27" t="n">
        <v>3047.3</v>
      </c>
      <c r="G79" s="27" t="n">
        <v>9.6</v>
      </c>
      <c r="H79" s="29" t="n">
        <v>0</v>
      </c>
    </row>
    <row r="80" customFormat="false" ht="15" hidden="false" customHeight="false" outlineLevel="0" collapsed="false">
      <c r="A80" s="5" t="n">
        <v>3000</v>
      </c>
      <c r="B80" s="27" t="n">
        <v>1403.8</v>
      </c>
      <c r="C80" s="27" t="n">
        <v>3737.6</v>
      </c>
      <c r="D80" s="27" t="n">
        <v>2275.8</v>
      </c>
      <c r="E80" s="27" t="n">
        <v>36.2</v>
      </c>
      <c r="F80" s="27" t="n">
        <v>2648.9</v>
      </c>
      <c r="G80" s="27" t="n">
        <v>712.7</v>
      </c>
      <c r="H80" s="29" t="n">
        <v>0</v>
      </c>
    </row>
    <row r="81" customFormat="false" ht="15" hidden="false" customHeight="false" outlineLevel="0" collapsed="false">
      <c r="A81" s="5" t="n">
        <v>4000</v>
      </c>
      <c r="B81" s="27" t="n">
        <v>1468.1</v>
      </c>
      <c r="C81" s="27" t="n">
        <v>3829.6</v>
      </c>
      <c r="D81" s="27" t="n">
        <v>2138.2</v>
      </c>
      <c r="E81" s="27" t="n">
        <v>826.7</v>
      </c>
      <c r="F81" s="27" t="n">
        <v>2496.4</v>
      </c>
      <c r="G81" s="27" t="n">
        <v>1044.2</v>
      </c>
      <c r="H81" s="29" t="n">
        <v>0</v>
      </c>
    </row>
    <row r="93" customFormat="false" ht="15" hidden="false" customHeight="false" outlineLevel="0" collapsed="false">
      <c r="A93" s="3" t="s">
        <v>554</v>
      </c>
    </row>
    <row r="94" customFormat="false" ht="30" hidden="false" customHeight="true" outlineLevel="0" collapsed="false">
      <c r="A94" s="4" t="s">
        <v>548</v>
      </c>
      <c r="B94" s="4" t="s">
        <v>549</v>
      </c>
      <c r="C94" s="4" t="s">
        <v>550</v>
      </c>
      <c r="D94" s="4" t="s">
        <v>551</v>
      </c>
      <c r="E94" s="4" t="s">
        <v>552</v>
      </c>
      <c r="F94" s="4" t="s">
        <v>512</v>
      </c>
      <c r="G94" s="4" t="s">
        <v>513</v>
      </c>
      <c r="H94" s="4" t="s">
        <v>553</v>
      </c>
    </row>
    <row r="95" customFormat="false" ht="15" hidden="false" customHeight="false" outlineLevel="0" collapsed="false">
      <c r="A95" s="5" t="n">
        <v>50</v>
      </c>
      <c r="B95" s="27" t="n">
        <v>64.6</v>
      </c>
      <c r="C95" s="27" t="n">
        <v>66.8</v>
      </c>
      <c r="D95" s="27" t="n">
        <v>5.5</v>
      </c>
      <c r="E95" s="27" t="n">
        <v>4.9</v>
      </c>
      <c r="F95" s="27" t="n">
        <v>16.2</v>
      </c>
      <c r="G95" s="27" t="n">
        <v>7.9</v>
      </c>
      <c r="H95" s="29" t="n">
        <v>0</v>
      </c>
    </row>
    <row r="96" customFormat="false" ht="15" hidden="false" customHeight="false" outlineLevel="0" collapsed="false">
      <c r="A96" s="5" t="n">
        <v>100</v>
      </c>
      <c r="B96" s="27" t="n">
        <v>131.2</v>
      </c>
      <c r="C96" s="27" t="n">
        <v>133.4</v>
      </c>
      <c r="D96" s="27" t="n">
        <v>5.3</v>
      </c>
      <c r="E96" s="27" t="n">
        <v>4.7</v>
      </c>
      <c r="F96" s="27" t="n">
        <v>15.8</v>
      </c>
      <c r="G96" s="27" t="n">
        <v>7.6</v>
      </c>
      <c r="H96" s="29" t="n">
        <v>0</v>
      </c>
    </row>
    <row r="97" customFormat="false" ht="15" hidden="false" customHeight="false" outlineLevel="0" collapsed="false">
      <c r="A97" s="5" t="n">
        <v>200</v>
      </c>
      <c r="B97" s="27" t="n">
        <v>258</v>
      </c>
      <c r="C97" s="27" t="n">
        <v>269.9</v>
      </c>
      <c r="D97" s="27" t="n">
        <v>4.9</v>
      </c>
      <c r="E97" s="27" t="n">
        <v>4.3</v>
      </c>
      <c r="F97" s="27" t="n">
        <v>15.4</v>
      </c>
      <c r="G97" s="27" t="n">
        <v>7.1</v>
      </c>
      <c r="H97" s="29" t="n">
        <v>0</v>
      </c>
    </row>
    <row r="98" customFormat="false" ht="15" hidden="false" customHeight="false" outlineLevel="0" collapsed="false">
      <c r="A98" s="5" t="n">
        <v>300</v>
      </c>
      <c r="B98" s="27" t="n">
        <v>402.9</v>
      </c>
      <c r="C98" s="27" t="n">
        <v>417.9</v>
      </c>
      <c r="D98" s="27" t="n">
        <v>5</v>
      </c>
      <c r="E98" s="27" t="n">
        <v>4</v>
      </c>
      <c r="F98" s="27" t="n">
        <v>15.5</v>
      </c>
      <c r="G98" s="27" t="n">
        <v>6.8</v>
      </c>
      <c r="H98" s="29" t="n">
        <v>0</v>
      </c>
    </row>
    <row r="99" customFormat="false" ht="15" hidden="false" customHeight="false" outlineLevel="0" collapsed="false">
      <c r="A99" s="5" t="n">
        <v>450</v>
      </c>
      <c r="B99" s="27" t="n">
        <v>606.2</v>
      </c>
      <c r="C99" s="27" t="n">
        <v>627.7</v>
      </c>
      <c r="D99" s="27" t="n">
        <v>4.6</v>
      </c>
      <c r="E99" s="27" t="n">
        <v>3.9</v>
      </c>
      <c r="F99" s="27" t="n">
        <v>14.9</v>
      </c>
      <c r="G99" s="27" t="n">
        <v>6.9</v>
      </c>
      <c r="H99" s="29" t="n">
        <v>0</v>
      </c>
    </row>
    <row r="100" customFormat="false" ht="15" hidden="false" customHeight="false" outlineLevel="0" collapsed="false">
      <c r="A100" s="5" t="n">
        <v>600</v>
      </c>
      <c r="B100" s="27" t="n">
        <v>755.2</v>
      </c>
      <c r="C100" s="27" t="n">
        <v>777.9</v>
      </c>
      <c r="D100" s="27" t="n">
        <v>3.9</v>
      </c>
      <c r="E100" s="27" t="n">
        <v>3.6</v>
      </c>
      <c r="F100" s="27" t="n">
        <v>12.4</v>
      </c>
      <c r="G100" s="27" t="n">
        <v>6.3</v>
      </c>
      <c r="H100" s="29" t="n">
        <v>0</v>
      </c>
    </row>
    <row r="111" customFormat="false" ht="15" hidden="false" customHeight="false" outlineLevel="0" collapsed="false">
      <c r="A111" s="3" t="s">
        <v>555</v>
      </c>
    </row>
    <row r="112" customFormat="false" ht="30" hidden="false" customHeight="true" outlineLevel="0" collapsed="false">
      <c r="A112" s="4" t="s">
        <v>556</v>
      </c>
      <c r="B112" s="4" t="s">
        <v>557</v>
      </c>
      <c r="C112" s="4" t="s">
        <v>5</v>
      </c>
      <c r="D112" s="4" t="s">
        <v>6</v>
      </c>
    </row>
    <row r="113" customFormat="false" ht="15" hidden="false" customHeight="false" outlineLevel="0" collapsed="false">
      <c r="A113" s="5" t="s">
        <v>558</v>
      </c>
      <c r="B113" s="5" t="n">
        <v>47</v>
      </c>
      <c r="C113" s="5" t="n">
        <v>27</v>
      </c>
      <c r="D113" s="5" t="n">
        <v>20</v>
      </c>
    </row>
    <row r="114" customFormat="false" ht="15" hidden="false" customHeight="false" outlineLevel="0" collapsed="false">
      <c r="A114" s="5" t="s">
        <v>559</v>
      </c>
      <c r="B114" s="5" t="n">
        <v>48</v>
      </c>
      <c r="C114" s="5" t="n">
        <v>30</v>
      </c>
      <c r="D114" s="5" t="n">
        <v>18</v>
      </c>
    </row>
    <row r="116" customFormat="false" ht="30" hidden="false" customHeight="true" outlineLevel="0" collapsed="false">
      <c r="A116" s="4" t="s">
        <v>114</v>
      </c>
      <c r="B116" s="4" t="s">
        <v>113</v>
      </c>
      <c r="C116" s="4" t="s">
        <v>528</v>
      </c>
      <c r="D116" s="4" t="s">
        <v>529</v>
      </c>
      <c r="E116" s="4" t="s">
        <v>560</v>
      </c>
      <c r="F116" s="4"/>
      <c r="G116" s="4"/>
      <c r="H116" s="4"/>
    </row>
    <row r="117" customFormat="false" ht="30" hidden="false" customHeight="true" outlineLevel="0" collapsed="false">
      <c r="A117" s="5" t="s">
        <v>561</v>
      </c>
      <c r="B117" s="5" t="s">
        <v>562</v>
      </c>
      <c r="C117" s="5" t="s">
        <v>563</v>
      </c>
      <c r="D117" s="5" t="s">
        <v>5</v>
      </c>
      <c r="E117" s="5" t="s">
        <v>564</v>
      </c>
      <c r="F117" s="5"/>
      <c r="G117" s="5"/>
      <c r="H117" s="5"/>
    </row>
    <row r="118" customFormat="false" ht="30" hidden="false" customHeight="true" outlineLevel="0" collapsed="false">
      <c r="A118" s="5" t="s">
        <v>242</v>
      </c>
      <c r="B118" s="5" t="s">
        <v>241</v>
      </c>
      <c r="C118" s="5" t="s">
        <v>6</v>
      </c>
      <c r="D118" s="5" t="s">
        <v>5</v>
      </c>
      <c r="E118" s="5" t="s">
        <v>565</v>
      </c>
      <c r="F118" s="5"/>
      <c r="G118" s="5"/>
      <c r="H118" s="5"/>
    </row>
    <row r="119" customFormat="false" ht="30" hidden="false" customHeight="true" outlineLevel="0" collapsed="false">
      <c r="A119" s="5" t="s">
        <v>364</v>
      </c>
      <c r="B119" s="5" t="s">
        <v>363</v>
      </c>
      <c r="C119" s="5" t="s">
        <v>6</v>
      </c>
      <c r="D119" s="5" t="s">
        <v>5</v>
      </c>
      <c r="E119" s="5" t="s">
        <v>566</v>
      </c>
      <c r="F119" s="5"/>
      <c r="G119" s="5"/>
      <c r="H119" s="5"/>
    </row>
    <row r="121" customFormat="false" ht="15" hidden="false" customHeight="false" outlineLevel="0" collapsed="false">
      <c r="A121" s="3" t="s">
        <v>567</v>
      </c>
    </row>
    <row r="122" customFormat="false" ht="60" hidden="false" customHeight="true" outlineLevel="0" collapsed="false">
      <c r="A122" s="17" t="s">
        <v>568</v>
      </c>
      <c r="B122" s="17"/>
      <c r="C122" s="17"/>
      <c r="D122" s="17"/>
      <c r="E122" s="17"/>
      <c r="F122" s="17"/>
      <c r="G122" s="17"/>
      <c r="H122" s="17"/>
    </row>
    <row r="123" customFormat="false" ht="30" hidden="false" customHeight="true" outlineLevel="0" collapsed="false">
      <c r="A123" s="17" t="s">
        <v>569</v>
      </c>
      <c r="B123" s="17"/>
      <c r="C123" s="17"/>
      <c r="D123" s="17"/>
      <c r="E123" s="17"/>
      <c r="F123" s="17"/>
      <c r="G123" s="17"/>
      <c r="H123" s="17"/>
    </row>
    <row r="124" customFormat="false" ht="30" hidden="false" customHeight="true" outlineLevel="0" collapsed="false">
      <c r="A124" s="17" t="s">
        <v>570</v>
      </c>
      <c r="B124" s="17"/>
      <c r="C124" s="17"/>
      <c r="D124" s="17"/>
      <c r="E124" s="17"/>
      <c r="F124" s="17"/>
      <c r="G124" s="17"/>
      <c r="H124" s="17"/>
    </row>
    <row r="125" customFormat="false" ht="45" hidden="false" customHeight="true" outlineLevel="0" collapsed="false">
      <c r="A125" s="17" t="s">
        <v>571</v>
      </c>
      <c r="B125" s="17"/>
      <c r="C125" s="17"/>
      <c r="D125" s="17"/>
      <c r="E125" s="17"/>
      <c r="F125" s="17"/>
      <c r="G125" s="17"/>
      <c r="H125" s="17"/>
    </row>
    <row r="126" customFormat="false" ht="60" hidden="false" customHeight="true" outlineLevel="0" collapsed="false">
      <c r="A126" s="17" t="s">
        <v>572</v>
      </c>
      <c r="B126" s="17"/>
      <c r="C126" s="17"/>
      <c r="D126" s="17"/>
      <c r="E126" s="17"/>
      <c r="F126" s="17"/>
      <c r="G126" s="17"/>
      <c r="H126" s="17"/>
    </row>
    <row r="127" customFormat="false" ht="60" hidden="false" customHeight="true" outlineLevel="0" collapsed="false">
      <c r="A127" s="17" t="s">
        <v>573</v>
      </c>
      <c r="B127" s="17"/>
      <c r="C127" s="17"/>
      <c r="D127" s="17"/>
      <c r="E127" s="17"/>
      <c r="F127" s="17"/>
      <c r="G127" s="17"/>
      <c r="H127" s="17"/>
    </row>
    <row r="128" customFormat="false" ht="60" hidden="false" customHeight="true" outlineLevel="0" collapsed="false">
      <c r="A128" s="17" t="s">
        <v>574</v>
      </c>
      <c r="B128" s="17"/>
      <c r="C128" s="17"/>
      <c r="D128" s="17"/>
      <c r="E128" s="17"/>
      <c r="F128" s="17"/>
      <c r="G128" s="17"/>
      <c r="H128" s="17"/>
    </row>
    <row r="129" customFormat="false" ht="30" hidden="false" customHeight="true" outlineLevel="0" collapsed="false">
      <c r="A129" s="17" t="s">
        <v>575</v>
      </c>
      <c r="B129" s="17"/>
      <c r="C129" s="17"/>
      <c r="D129" s="17"/>
      <c r="E129" s="17"/>
      <c r="F129" s="17"/>
      <c r="G129" s="17"/>
      <c r="H129" s="17"/>
    </row>
  </sheetData>
  <mergeCells count="21"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E116:H116"/>
    <mergeCell ref="E117:H117"/>
    <mergeCell ref="E118:H118"/>
    <mergeCell ref="E119:H119"/>
    <mergeCell ref="A122:H122"/>
    <mergeCell ref="A123:H123"/>
    <mergeCell ref="A124:H124"/>
    <mergeCell ref="A125:H125"/>
    <mergeCell ref="A126:H126"/>
    <mergeCell ref="A127:H127"/>
    <mergeCell ref="A128:H128"/>
    <mergeCell ref="A129:H129"/>
  </mergeCells>
  <conditionalFormatting sqref="H17:H25 H35:H43 F53:F73 C117:D12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"SKIP"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4" min="3" style="0" width="44"/>
    <col collapsed="false" customWidth="true" hidden="false" outlineLevel="0" max="5" min="5" style="0" width="60"/>
    <col collapsed="false" customWidth="true" hidden="false" outlineLevel="0" max="6" min="6" style="0" width="36"/>
  </cols>
  <sheetData>
    <row r="1" customFormat="false" ht="17.35" hidden="false" customHeight="false" outlineLevel="0" collapsed="false">
      <c r="A1" s="1" t="s">
        <v>576</v>
      </c>
    </row>
    <row r="2" customFormat="false" ht="15" hidden="false" customHeight="false" outlineLevel="0" collapsed="false">
      <c r="A2" s="2" t="s">
        <v>577</v>
      </c>
    </row>
    <row r="4" customFormat="false" ht="30" hidden="false" customHeight="true" outlineLevel="0" collapsed="false">
      <c r="A4" s="4" t="s">
        <v>113</v>
      </c>
      <c r="B4" s="4" t="s">
        <v>25</v>
      </c>
      <c r="C4" s="4" t="s">
        <v>578</v>
      </c>
      <c r="D4" s="4" t="s">
        <v>579</v>
      </c>
      <c r="E4" s="4" t="s">
        <v>580</v>
      </c>
      <c r="F4" s="4" t="s">
        <v>102</v>
      </c>
    </row>
    <row r="5" customFormat="false" ht="46.25" hidden="false" customHeight="false" outlineLevel="0" collapsed="false">
      <c r="A5" s="5" t="s">
        <v>581</v>
      </c>
      <c r="B5" s="5" t="s">
        <v>582</v>
      </c>
      <c r="C5" s="5" t="s">
        <v>583</v>
      </c>
      <c r="D5" s="5" t="s">
        <v>584</v>
      </c>
      <c r="E5" s="5" t="s">
        <v>585</v>
      </c>
      <c r="F5" s="5" t="s">
        <v>586</v>
      </c>
    </row>
    <row r="6" customFormat="false" ht="35.05" hidden="false" customHeight="false" outlineLevel="0" collapsed="false">
      <c r="A6" s="5" t="s">
        <v>587</v>
      </c>
      <c r="B6" s="5" t="s">
        <v>588</v>
      </c>
      <c r="C6" s="5" t="s">
        <v>589</v>
      </c>
      <c r="D6" s="5" t="s">
        <v>590</v>
      </c>
      <c r="E6" s="5" t="s">
        <v>591</v>
      </c>
      <c r="F6" s="5" t="s">
        <v>592</v>
      </c>
    </row>
    <row r="7" customFormat="false" ht="46.25" hidden="false" customHeight="false" outlineLevel="0" collapsed="false">
      <c r="A7" s="5" t="s">
        <v>593</v>
      </c>
      <c r="B7" s="5" t="s">
        <v>594</v>
      </c>
      <c r="C7" s="5" t="s">
        <v>595</v>
      </c>
      <c r="D7" s="5" t="s">
        <v>596</v>
      </c>
      <c r="E7" s="5" t="s">
        <v>597</v>
      </c>
      <c r="F7" s="5" t="s">
        <v>598</v>
      </c>
    </row>
    <row r="8" customFormat="false" ht="35.05" hidden="false" customHeight="false" outlineLevel="0" collapsed="false">
      <c r="A8" s="5" t="s">
        <v>599</v>
      </c>
      <c r="B8" s="5" t="s">
        <v>600</v>
      </c>
      <c r="C8" s="5" t="s">
        <v>601</v>
      </c>
      <c r="D8" s="5" t="s">
        <v>602</v>
      </c>
      <c r="E8" s="5" t="s">
        <v>603</v>
      </c>
      <c r="F8" s="5" t="s">
        <v>604</v>
      </c>
    </row>
    <row r="9" customFormat="false" ht="35.05" hidden="false" customHeight="false" outlineLevel="0" collapsed="false">
      <c r="A9" s="5" t="s">
        <v>605</v>
      </c>
      <c r="B9" s="5" t="s">
        <v>606</v>
      </c>
      <c r="C9" s="5" t="s">
        <v>607</v>
      </c>
      <c r="D9" s="5" t="s">
        <v>608</v>
      </c>
      <c r="E9" s="5" t="s">
        <v>609</v>
      </c>
      <c r="F9" s="5" t="s">
        <v>610</v>
      </c>
    </row>
    <row r="10" customFormat="false" ht="35.05" hidden="false" customHeight="false" outlineLevel="0" collapsed="false">
      <c r="A10" s="5" t="s">
        <v>611</v>
      </c>
      <c r="B10" s="5" t="s">
        <v>612</v>
      </c>
      <c r="C10" s="5" t="s">
        <v>613</v>
      </c>
      <c r="D10" s="5" t="s">
        <v>614</v>
      </c>
      <c r="E10" s="5" t="s">
        <v>615</v>
      </c>
      <c r="F10" s="5" t="s">
        <v>616</v>
      </c>
    </row>
    <row r="11" customFormat="false" ht="35.05" hidden="false" customHeight="false" outlineLevel="0" collapsed="false">
      <c r="A11" s="5" t="s">
        <v>436</v>
      </c>
      <c r="B11" s="5" t="s">
        <v>617</v>
      </c>
      <c r="C11" s="5" t="s">
        <v>618</v>
      </c>
      <c r="D11" s="5" t="s">
        <v>619</v>
      </c>
      <c r="E11" s="5" t="s">
        <v>620</v>
      </c>
      <c r="F11" s="5" t="s">
        <v>621</v>
      </c>
    </row>
    <row r="12" customFormat="false" ht="35.05" hidden="false" customHeight="false" outlineLevel="0" collapsed="false">
      <c r="A12" s="5" t="s">
        <v>622</v>
      </c>
      <c r="B12" s="5" t="s">
        <v>623</v>
      </c>
      <c r="C12" s="5" t="s">
        <v>624</v>
      </c>
      <c r="D12" s="5" t="s">
        <v>625</v>
      </c>
      <c r="E12" s="5" t="s">
        <v>626</v>
      </c>
      <c r="F12" s="5" t="s">
        <v>627</v>
      </c>
    </row>
    <row r="13" customFormat="false" ht="23.85" hidden="false" customHeight="false" outlineLevel="0" collapsed="false">
      <c r="A13" s="5" t="s">
        <v>628</v>
      </c>
      <c r="B13" s="5" t="s">
        <v>629</v>
      </c>
      <c r="C13" s="5" t="s">
        <v>630</v>
      </c>
      <c r="D13" s="5" t="s">
        <v>631</v>
      </c>
      <c r="E13" s="5" t="s">
        <v>632</v>
      </c>
      <c r="F13" s="5" t="s">
        <v>633</v>
      </c>
    </row>
    <row r="14" customFormat="false" ht="23.85" hidden="false" customHeight="false" outlineLevel="0" collapsed="false">
      <c r="A14" s="5" t="s">
        <v>634</v>
      </c>
      <c r="B14" s="5" t="s">
        <v>635</v>
      </c>
      <c r="C14" s="5" t="s">
        <v>636</v>
      </c>
      <c r="D14" s="5" t="s">
        <v>637</v>
      </c>
      <c r="E14" s="5" t="s">
        <v>638</v>
      </c>
      <c r="F14" s="5" t="s">
        <v>639</v>
      </c>
    </row>
    <row r="15" customFormat="false" ht="35.05" hidden="false" customHeight="false" outlineLevel="0" collapsed="false">
      <c r="A15" s="5" t="s">
        <v>640</v>
      </c>
      <c r="B15" s="5" t="s">
        <v>641</v>
      </c>
      <c r="C15" s="5" t="s">
        <v>642</v>
      </c>
      <c r="D15" s="5" t="s">
        <v>643</v>
      </c>
      <c r="E15" s="5" t="s">
        <v>644</v>
      </c>
      <c r="F15" s="5" t="s">
        <v>645</v>
      </c>
    </row>
    <row r="16" customFormat="false" ht="35.05" hidden="false" customHeight="false" outlineLevel="0" collapsed="false">
      <c r="A16" s="5" t="s">
        <v>482</v>
      </c>
      <c r="B16" s="5" t="s">
        <v>646</v>
      </c>
      <c r="C16" s="5" t="s">
        <v>647</v>
      </c>
      <c r="D16" s="5" t="s">
        <v>643</v>
      </c>
      <c r="E16" s="5" t="s">
        <v>644</v>
      </c>
      <c r="F16" s="5" t="s">
        <v>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6" min="5" style="0" width="10"/>
    <col collapsed="false" customWidth="true" hidden="false" outlineLevel="0" max="9" min="7" style="0" width="9"/>
    <col collapsed="false" customWidth="true" hidden="false" outlineLevel="0" max="10" min="10" style="0" width="22"/>
    <col collapsed="false" customWidth="true" hidden="false" outlineLevel="0" max="15" min="11" style="0" width="9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19" min="19" style="0" width="8"/>
    <col collapsed="false" customWidth="true" hidden="false" outlineLevel="0" max="22" min="20" style="0" width="14"/>
    <col collapsed="false" customWidth="true" hidden="false" outlineLevel="0" max="23" min="23" style="0" width="11"/>
    <col collapsed="false" customWidth="true" hidden="false" outlineLevel="0" max="24" min="24" style="0" width="14"/>
    <col collapsed="false" customWidth="true" hidden="false" outlineLevel="0" max="25" min="25" style="0" width="12"/>
    <col collapsed="false" customWidth="true" hidden="false" outlineLevel="0" max="26" min="26" style="0" width="10"/>
    <col collapsed="false" customWidth="true" hidden="false" outlineLevel="0" max="28" min="27" style="0" width="9"/>
    <col collapsed="false" customWidth="true" hidden="false" outlineLevel="0" max="29" min="29" style="0" width="60"/>
  </cols>
  <sheetData>
    <row r="1" customFormat="false" ht="17.35" hidden="false" customHeight="false" outlineLevel="0" collapsed="false">
      <c r="A1" s="1" t="s">
        <v>648</v>
      </c>
    </row>
    <row r="2" customFormat="false" ht="15" hidden="false" customHeight="false" outlineLevel="0" collapsed="false">
      <c r="A2" s="2" t="s">
        <v>649</v>
      </c>
    </row>
    <row r="4" customFormat="false" ht="30" hidden="false" customHeight="true" outlineLevel="0" collapsed="false">
      <c r="A4" s="4" t="s">
        <v>113</v>
      </c>
      <c r="B4" s="4" t="s">
        <v>25</v>
      </c>
      <c r="C4" s="4" t="s">
        <v>650</v>
      </c>
      <c r="D4" s="4" t="s">
        <v>26</v>
      </c>
      <c r="E4" s="4" t="s">
        <v>651</v>
      </c>
      <c r="F4" s="4" t="s">
        <v>27</v>
      </c>
      <c r="G4" s="4" t="s">
        <v>652</v>
      </c>
      <c r="H4" s="4" t="s">
        <v>653</v>
      </c>
      <c r="I4" s="4" t="s">
        <v>28</v>
      </c>
      <c r="J4" s="4" t="s">
        <v>654</v>
      </c>
      <c r="K4" s="4" t="s">
        <v>655</v>
      </c>
      <c r="L4" s="4" t="s">
        <v>656</v>
      </c>
      <c r="M4" s="4" t="s">
        <v>657</v>
      </c>
      <c r="N4" s="4" t="s">
        <v>29</v>
      </c>
      <c r="O4" s="4" t="s">
        <v>30</v>
      </c>
      <c r="P4" s="4" t="s">
        <v>658</v>
      </c>
      <c r="Q4" s="4" t="s">
        <v>659</v>
      </c>
      <c r="R4" s="4" t="s">
        <v>660</v>
      </c>
      <c r="S4" s="4" t="s">
        <v>661</v>
      </c>
      <c r="T4" s="4" t="s">
        <v>662</v>
      </c>
      <c r="U4" s="4" t="s">
        <v>663</v>
      </c>
      <c r="V4" s="4" t="s">
        <v>664</v>
      </c>
      <c r="W4" s="4" t="s">
        <v>665</v>
      </c>
      <c r="X4" s="4" t="s">
        <v>666</v>
      </c>
      <c r="Y4" s="4" t="s">
        <v>667</v>
      </c>
      <c r="Z4" s="4" t="s">
        <v>668</v>
      </c>
      <c r="AA4" s="4" t="s">
        <v>669</v>
      </c>
      <c r="AB4" s="4" t="s">
        <v>670</v>
      </c>
      <c r="AC4" s="4" t="s">
        <v>671</v>
      </c>
    </row>
    <row r="5" customFormat="false" ht="23.85" hidden="false" customHeight="false" outlineLevel="0" collapsed="false">
      <c r="A5" s="5" t="s">
        <v>581</v>
      </c>
      <c r="B5" s="5" t="s">
        <v>672</v>
      </c>
      <c r="C5" s="5" t="n">
        <v>56.3</v>
      </c>
      <c r="D5" s="30" t="n">
        <v>320</v>
      </c>
      <c r="E5" s="5" t="n">
        <v>28</v>
      </c>
      <c r="F5" s="27" t="n">
        <v>5.7</v>
      </c>
      <c r="G5" s="5" t="n">
        <v>16</v>
      </c>
      <c r="H5" s="5" t="n">
        <v>1</v>
      </c>
      <c r="I5" s="29" t="n">
        <v>0</v>
      </c>
      <c r="J5" s="5" t="s">
        <v>673</v>
      </c>
      <c r="K5" s="27" t="n">
        <v>26.16</v>
      </c>
      <c r="L5" s="27" t="n">
        <v>0.76</v>
      </c>
      <c r="M5" s="27" t="n">
        <v>14.86</v>
      </c>
      <c r="N5" s="27" t="n">
        <v>111.47</v>
      </c>
      <c r="O5" s="27" t="n">
        <v>194.49</v>
      </c>
      <c r="P5" s="27" t="n">
        <v>360.56</v>
      </c>
      <c r="Q5" s="27" t="n">
        <v>107.19</v>
      </c>
      <c r="R5" s="5" t="n">
        <v>114.3</v>
      </c>
      <c r="S5" s="5" t="n">
        <v>2</v>
      </c>
      <c r="T5" s="5" t="s">
        <v>674</v>
      </c>
      <c r="U5" s="5" t="s">
        <v>675</v>
      </c>
      <c r="V5" s="5" t="s">
        <v>676</v>
      </c>
      <c r="W5" s="5" t="n">
        <v>193.9</v>
      </c>
      <c r="X5" s="5" t="s">
        <v>677</v>
      </c>
      <c r="Y5" s="5" t="s">
        <v>678</v>
      </c>
      <c r="Z5" s="5" t="n">
        <v>11</v>
      </c>
      <c r="AA5" s="5" t="n">
        <v>57</v>
      </c>
      <c r="AB5" s="5" t="s">
        <v>5</v>
      </c>
      <c r="AC5" s="5" t="s">
        <v>679</v>
      </c>
    </row>
    <row r="6" customFormat="false" ht="23.85" hidden="false" customHeight="false" outlineLevel="0" collapsed="false">
      <c r="A6" s="5" t="s">
        <v>587</v>
      </c>
      <c r="B6" s="5" t="s">
        <v>680</v>
      </c>
      <c r="C6" s="5" t="n">
        <v>256.6</v>
      </c>
      <c r="D6" s="30" t="n">
        <v>7772</v>
      </c>
      <c r="E6" s="5" t="n">
        <v>3713</v>
      </c>
      <c r="F6" s="27" t="n">
        <v>30.3</v>
      </c>
      <c r="G6" s="5" t="n">
        <v>68</v>
      </c>
      <c r="H6" s="5" t="n">
        <v>50</v>
      </c>
      <c r="I6" s="29" t="n">
        <v>0</v>
      </c>
      <c r="J6" s="5" t="s">
        <v>681</v>
      </c>
      <c r="K6" s="27" t="n">
        <v>7.29</v>
      </c>
      <c r="L6" s="27" t="n">
        <v>0.29</v>
      </c>
      <c r="M6" s="27" t="n">
        <v>5.56</v>
      </c>
      <c r="N6" s="27" t="n">
        <v>15.28</v>
      </c>
      <c r="O6" s="27" t="n">
        <v>17.23</v>
      </c>
      <c r="P6" s="27" t="n">
        <v>34.19</v>
      </c>
      <c r="Q6" s="27" t="n">
        <v>13.92</v>
      </c>
      <c r="R6" s="5" t="n">
        <v>26.3</v>
      </c>
      <c r="S6" s="5" t="n">
        <v>0.1</v>
      </c>
      <c r="T6" s="5" t="s">
        <v>682</v>
      </c>
      <c r="U6" s="5" t="s">
        <v>683</v>
      </c>
      <c r="V6" s="5" t="s">
        <v>684</v>
      </c>
      <c r="W6" s="5" t="n">
        <v>318.3</v>
      </c>
      <c r="X6" s="5" t="s">
        <v>685</v>
      </c>
      <c r="Y6" s="5" t="s">
        <v>686</v>
      </c>
      <c r="Z6" s="5" t="n">
        <v>11</v>
      </c>
      <c r="AA6" s="5" t="n">
        <v>358.6</v>
      </c>
      <c r="AB6" s="5" t="s">
        <v>5</v>
      </c>
      <c r="AC6" s="5" t="s">
        <v>687</v>
      </c>
    </row>
    <row r="7" customFormat="false" ht="35.05" hidden="false" customHeight="false" outlineLevel="0" collapsed="false">
      <c r="A7" s="5" t="s">
        <v>593</v>
      </c>
      <c r="B7" s="5" t="s">
        <v>688</v>
      </c>
      <c r="C7" s="5" t="n">
        <v>373.3</v>
      </c>
      <c r="D7" s="30" t="n">
        <v>22489</v>
      </c>
      <c r="E7" s="5" t="n">
        <v>9139</v>
      </c>
      <c r="F7" s="27" t="n">
        <v>60.3</v>
      </c>
      <c r="G7" s="5" t="n">
        <v>149</v>
      </c>
      <c r="H7" s="5" t="n">
        <v>100</v>
      </c>
      <c r="I7" s="29" t="n">
        <v>0</v>
      </c>
      <c r="J7" s="5" t="s">
        <v>689</v>
      </c>
      <c r="K7" s="27" t="n">
        <v>8.88</v>
      </c>
      <c r="L7" s="27" t="n">
        <v>0.12</v>
      </c>
      <c r="M7" s="27" t="n">
        <v>6.06</v>
      </c>
      <c r="N7" s="27" t="n">
        <v>17.52</v>
      </c>
      <c r="O7" s="27" t="n">
        <v>34.41</v>
      </c>
      <c r="P7" s="27" t="n">
        <v>344.79</v>
      </c>
      <c r="Q7" s="27" t="n">
        <v>16.03</v>
      </c>
      <c r="R7" s="5" t="n">
        <v>2277.3</v>
      </c>
      <c r="S7" s="5" t="n">
        <v>6.1</v>
      </c>
      <c r="T7" s="5" t="s">
        <v>690</v>
      </c>
      <c r="U7" s="5" t="s">
        <v>691</v>
      </c>
      <c r="V7" s="5" t="s">
        <v>692</v>
      </c>
      <c r="W7" s="5" t="n">
        <v>334.8</v>
      </c>
      <c r="X7" s="5" t="s">
        <v>693</v>
      </c>
      <c r="Y7" s="5" t="s">
        <v>694</v>
      </c>
      <c r="Z7" s="5" t="n">
        <v>11</v>
      </c>
      <c r="AA7" s="5" t="n">
        <v>749.3</v>
      </c>
      <c r="AB7" s="5" t="s">
        <v>5</v>
      </c>
      <c r="AC7" s="5" t="s">
        <v>695</v>
      </c>
    </row>
    <row r="8" customFormat="false" ht="23.85" hidden="false" customHeight="false" outlineLevel="0" collapsed="false">
      <c r="A8" s="5" t="s">
        <v>599</v>
      </c>
      <c r="B8" s="5" t="s">
        <v>696</v>
      </c>
      <c r="C8" s="5" t="n">
        <v>513.4</v>
      </c>
      <c r="D8" s="30" t="n">
        <v>176498</v>
      </c>
      <c r="E8" s="5" t="n">
        <v>144374</v>
      </c>
      <c r="F8" s="27" t="n">
        <v>343.8</v>
      </c>
      <c r="G8" s="5" t="n">
        <v>1459</v>
      </c>
      <c r="H8" s="5" t="n">
        <v>100</v>
      </c>
      <c r="I8" s="29" t="n">
        <v>0</v>
      </c>
      <c r="J8" s="5" t="s">
        <v>697</v>
      </c>
      <c r="K8" s="27" t="n">
        <v>6.35</v>
      </c>
      <c r="L8" s="27" t="n">
        <v>0.09</v>
      </c>
      <c r="M8" s="27" t="n">
        <v>4.59</v>
      </c>
      <c r="N8" s="27" t="n">
        <v>15.02</v>
      </c>
      <c r="O8" s="27" t="n">
        <v>16.36</v>
      </c>
      <c r="P8" s="27" t="n">
        <v>56.94</v>
      </c>
      <c r="Q8" s="27" t="n">
        <v>13.17</v>
      </c>
      <c r="R8" s="5" t="n">
        <v>455.9</v>
      </c>
      <c r="S8" s="5" t="n">
        <v>0.9</v>
      </c>
      <c r="T8" s="5" t="s">
        <v>698</v>
      </c>
      <c r="U8" s="5" t="s">
        <v>699</v>
      </c>
      <c r="V8" s="5" t="s">
        <v>700</v>
      </c>
      <c r="W8" s="5" t="n">
        <v>335.9</v>
      </c>
      <c r="X8" s="5" t="s">
        <v>701</v>
      </c>
      <c r="Y8" s="5" t="s">
        <v>702</v>
      </c>
      <c r="Z8" s="5" t="n">
        <v>11</v>
      </c>
      <c r="AA8" s="5" t="n">
        <v>4290.8</v>
      </c>
      <c r="AB8" s="5" t="s">
        <v>5</v>
      </c>
      <c r="AC8" s="5" t="s">
        <v>703</v>
      </c>
    </row>
    <row r="9" customFormat="false" ht="68.65" hidden="false" customHeight="false" outlineLevel="0" collapsed="false">
      <c r="A9" s="5" t="s">
        <v>605</v>
      </c>
      <c r="B9" s="5" t="s">
        <v>704</v>
      </c>
      <c r="C9" s="5" t="n">
        <v>433.2</v>
      </c>
      <c r="D9" s="30" t="n">
        <v>560700</v>
      </c>
      <c r="E9" s="5" t="n">
        <v>457947</v>
      </c>
      <c r="F9" s="27" t="n">
        <v>1294.4</v>
      </c>
      <c r="G9" s="5" t="n">
        <v>3800</v>
      </c>
      <c r="H9" s="5" t="n">
        <v>3000</v>
      </c>
      <c r="I9" s="29" t="n">
        <v>0</v>
      </c>
      <c r="J9" s="5" t="s">
        <v>705</v>
      </c>
      <c r="K9" s="27" t="n">
        <v>1718.14</v>
      </c>
      <c r="L9" s="27" t="n">
        <v>0.05</v>
      </c>
      <c r="M9" s="27" t="n">
        <v>2235.31</v>
      </c>
      <c r="N9" s="27" t="n">
        <v>2949.46</v>
      </c>
      <c r="O9" s="27" t="n">
        <v>3170.03</v>
      </c>
      <c r="P9" s="27" t="n">
        <v>4493.7</v>
      </c>
      <c r="Q9" s="27" t="n">
        <v>2845.76</v>
      </c>
      <c r="R9" s="5" t="n">
        <v>1482.8</v>
      </c>
      <c r="S9" s="5" t="n">
        <v>3.4</v>
      </c>
      <c r="T9" s="5" t="s">
        <v>706</v>
      </c>
      <c r="U9" s="5" t="s">
        <v>707</v>
      </c>
      <c r="V9" s="5" t="s">
        <v>708</v>
      </c>
      <c r="W9" s="5" t="n">
        <v>447.7</v>
      </c>
      <c r="X9" s="5" t="s">
        <v>709</v>
      </c>
      <c r="Y9" s="5" t="s">
        <v>710</v>
      </c>
      <c r="Z9" s="5" t="n">
        <v>11</v>
      </c>
      <c r="AA9" s="5" t="n">
        <v>16304.3</v>
      </c>
      <c r="AB9" s="5" t="s">
        <v>6</v>
      </c>
      <c r="AC9" s="5" t="s">
        <v>711</v>
      </c>
    </row>
    <row r="10" customFormat="false" ht="23.85" hidden="false" customHeight="false" outlineLevel="0" collapsed="false">
      <c r="A10" s="5" t="s">
        <v>611</v>
      </c>
      <c r="B10" s="5" t="s">
        <v>712</v>
      </c>
      <c r="C10" s="5" t="n">
        <v>189.6</v>
      </c>
      <c r="D10" s="30" t="n">
        <v>55548</v>
      </c>
      <c r="E10" s="5" t="n">
        <v>29092</v>
      </c>
      <c r="F10" s="27" t="n">
        <v>292.9</v>
      </c>
      <c r="G10" s="5" t="n">
        <v>1457</v>
      </c>
      <c r="H10" s="5" t="n">
        <v>400</v>
      </c>
      <c r="I10" s="29" t="n">
        <v>0</v>
      </c>
      <c r="J10" s="5" t="s">
        <v>713</v>
      </c>
      <c r="K10" s="27" t="n">
        <v>6.95</v>
      </c>
      <c r="L10" s="27" t="n">
        <v>0.1</v>
      </c>
      <c r="M10" s="27" t="n">
        <v>5.02</v>
      </c>
      <c r="N10" s="27" t="n">
        <v>15.41</v>
      </c>
      <c r="O10" s="27" t="n">
        <v>18.04</v>
      </c>
      <c r="P10" s="27" t="n">
        <v>53.74</v>
      </c>
      <c r="Q10" s="27" t="n">
        <v>14.1</v>
      </c>
      <c r="R10" s="5" t="n">
        <v>256.8</v>
      </c>
      <c r="S10" s="5" t="n">
        <v>1.4</v>
      </c>
      <c r="T10" s="5" t="s">
        <v>714</v>
      </c>
      <c r="U10" s="5" t="s">
        <v>715</v>
      </c>
      <c r="V10" s="5" t="s">
        <v>716</v>
      </c>
      <c r="W10" s="5" t="n">
        <v>343.9</v>
      </c>
      <c r="X10" s="5" t="s">
        <v>717</v>
      </c>
      <c r="Y10" s="5" t="s">
        <v>718</v>
      </c>
      <c r="Z10" s="5" t="n">
        <v>11</v>
      </c>
      <c r="AA10" s="5" t="n">
        <v>3848.5</v>
      </c>
      <c r="AB10" s="5" t="s">
        <v>5</v>
      </c>
      <c r="AC10" s="5" t="s">
        <v>719</v>
      </c>
    </row>
    <row r="11" customFormat="false" ht="35.05" hidden="false" customHeight="false" outlineLevel="0" collapsed="false">
      <c r="A11" s="5" t="s">
        <v>436</v>
      </c>
      <c r="B11" s="5" t="s">
        <v>720</v>
      </c>
      <c r="C11" s="5" t="n">
        <v>227</v>
      </c>
      <c r="D11" s="30" t="n">
        <v>9618</v>
      </c>
      <c r="E11" s="5" t="n">
        <v>9618</v>
      </c>
      <c r="F11" s="27" t="n">
        <v>42.4</v>
      </c>
      <c r="G11" s="5" t="n">
        <v>190</v>
      </c>
      <c r="H11" s="5" t="n">
        <v>106</v>
      </c>
      <c r="I11" s="29" t="n">
        <v>0</v>
      </c>
      <c r="J11" s="5" t="s">
        <v>721</v>
      </c>
      <c r="K11" s="27" t="n">
        <v>258.91</v>
      </c>
      <c r="L11" s="27" t="n">
        <v>0.1</v>
      </c>
      <c r="M11" s="27" t="n">
        <v>84.65</v>
      </c>
      <c r="N11" s="27" t="n">
        <v>987.93</v>
      </c>
      <c r="O11" s="27" t="n">
        <v>1049.75</v>
      </c>
      <c r="P11" s="27" t="n">
        <v>1979.85</v>
      </c>
      <c r="Q11" s="27" t="n">
        <v>911.79</v>
      </c>
      <c r="R11" s="5" t="n">
        <v>5.1</v>
      </c>
      <c r="S11" s="5" t="n">
        <v>0</v>
      </c>
      <c r="T11" s="5" t="s">
        <v>722</v>
      </c>
      <c r="U11" s="5" t="s">
        <v>723</v>
      </c>
      <c r="V11" s="5" t="s">
        <v>724</v>
      </c>
      <c r="W11" s="5" t="n">
        <v>344.3</v>
      </c>
      <c r="X11" s="5" t="s">
        <v>725</v>
      </c>
      <c r="Y11" s="5" t="s">
        <v>726</v>
      </c>
      <c r="Z11" s="5" t="n">
        <v>11</v>
      </c>
      <c r="AA11" s="5" t="n">
        <v>135</v>
      </c>
      <c r="AB11" s="5" t="s">
        <v>5</v>
      </c>
      <c r="AC11" s="5" t="s">
        <v>727</v>
      </c>
    </row>
    <row r="12" customFormat="false" ht="35.05" hidden="false" customHeight="false" outlineLevel="0" collapsed="false">
      <c r="A12" s="5" t="s">
        <v>622</v>
      </c>
      <c r="B12" s="5" t="s">
        <v>728</v>
      </c>
      <c r="C12" s="5" t="n">
        <v>189.7</v>
      </c>
      <c r="D12" s="30" t="n">
        <v>3059</v>
      </c>
      <c r="E12" s="5" t="n">
        <v>60</v>
      </c>
      <c r="F12" s="27" t="n">
        <v>16.1</v>
      </c>
      <c r="G12" s="5" t="n">
        <v>88</v>
      </c>
      <c r="H12" s="5" t="n">
        <v>60</v>
      </c>
      <c r="I12" s="29" t="n">
        <v>0</v>
      </c>
      <c r="J12" s="5" t="s">
        <v>729</v>
      </c>
      <c r="K12" s="27" t="n">
        <v>16.94</v>
      </c>
      <c r="L12" s="27" t="n">
        <v>0.34</v>
      </c>
      <c r="M12" s="27" t="n">
        <v>10.35</v>
      </c>
      <c r="N12" s="27" t="n">
        <v>35.72</v>
      </c>
      <c r="O12" s="27" t="n">
        <v>157.34</v>
      </c>
      <c r="P12" s="27" t="n">
        <v>311.7</v>
      </c>
      <c r="Q12" s="27" t="n">
        <v>22.89</v>
      </c>
      <c r="R12" s="5" t="n">
        <v>2.6</v>
      </c>
      <c r="S12" s="5" t="n">
        <v>0</v>
      </c>
      <c r="T12" s="5" t="s">
        <v>730</v>
      </c>
      <c r="U12" s="5" t="s">
        <v>731</v>
      </c>
      <c r="V12" s="5" t="s">
        <v>732</v>
      </c>
      <c r="W12" s="5" t="n">
        <v>341.7</v>
      </c>
      <c r="X12" s="5" t="s">
        <v>733</v>
      </c>
      <c r="Y12" s="5" t="s">
        <v>734</v>
      </c>
      <c r="Z12" s="5" t="n">
        <v>11</v>
      </c>
      <c r="AA12" s="5" t="n">
        <v>190.4</v>
      </c>
      <c r="AB12" s="5" t="s">
        <v>5</v>
      </c>
      <c r="AC12" s="5" t="s">
        <v>735</v>
      </c>
    </row>
    <row r="13" customFormat="false" ht="23.85" hidden="false" customHeight="false" outlineLevel="0" collapsed="false">
      <c r="A13" s="5" t="s">
        <v>628</v>
      </c>
      <c r="B13" s="5" t="s">
        <v>736</v>
      </c>
      <c r="C13" s="5" t="n">
        <v>114.9</v>
      </c>
      <c r="D13" s="30" t="n">
        <v>2256</v>
      </c>
      <c r="E13" s="5" t="n">
        <v>2256</v>
      </c>
      <c r="F13" s="27" t="n">
        <v>19.6</v>
      </c>
      <c r="G13" s="5" t="n">
        <v>37</v>
      </c>
      <c r="H13" s="5" t="n">
        <v>20</v>
      </c>
      <c r="I13" s="29" t="n">
        <v>0</v>
      </c>
      <c r="J13" s="5" t="s">
        <v>737</v>
      </c>
      <c r="K13" s="27" t="n">
        <v>66.17</v>
      </c>
      <c r="L13" s="27" t="n">
        <v>-1258.95</v>
      </c>
      <c r="M13" s="27" t="n">
        <v>63.66</v>
      </c>
      <c r="N13" s="27" t="n">
        <v>103.87</v>
      </c>
      <c r="O13" s="27" t="n">
        <v>234.58</v>
      </c>
      <c r="P13" s="27" t="n">
        <v>417.37</v>
      </c>
      <c r="Q13" s="27" t="n">
        <v>87.42</v>
      </c>
      <c r="R13" s="5" t="n">
        <v>41541</v>
      </c>
      <c r="S13" s="5" t="n">
        <v>361.5</v>
      </c>
      <c r="T13" s="5" t="s">
        <v>738</v>
      </c>
      <c r="U13" s="5" t="s">
        <v>739</v>
      </c>
      <c r="V13" s="5" t="s">
        <v>740</v>
      </c>
      <c r="W13" s="5" t="n">
        <v>351.3</v>
      </c>
      <c r="X13" s="5" t="s">
        <v>741</v>
      </c>
      <c r="Y13" s="5" t="s">
        <v>742</v>
      </c>
      <c r="Z13" s="5" t="n">
        <v>11</v>
      </c>
      <c r="AA13" s="5" t="n">
        <v>164.1</v>
      </c>
      <c r="AB13" s="5" t="s">
        <v>5</v>
      </c>
      <c r="AC13" s="5" t="s">
        <v>743</v>
      </c>
    </row>
    <row r="14" customFormat="false" ht="35.05" hidden="false" customHeight="false" outlineLevel="0" collapsed="false">
      <c r="A14" s="5" t="s">
        <v>634</v>
      </c>
      <c r="B14" s="5" t="s">
        <v>744</v>
      </c>
      <c r="C14" s="5" t="n">
        <v>879.5</v>
      </c>
      <c r="D14" s="30" t="n">
        <v>23230</v>
      </c>
      <c r="E14" s="5" t="n">
        <v>9582</v>
      </c>
      <c r="F14" s="27" t="n">
        <v>26.4</v>
      </c>
      <c r="G14" s="5" t="n">
        <v>148</v>
      </c>
      <c r="H14" s="5" t="n">
        <v>40</v>
      </c>
      <c r="I14" s="29" t="n">
        <v>0</v>
      </c>
      <c r="J14" s="5" t="s">
        <v>745</v>
      </c>
      <c r="K14" s="27" t="n">
        <v>9.99</v>
      </c>
      <c r="L14" s="27" t="n">
        <v>-1232.71</v>
      </c>
      <c r="M14" s="27" t="n">
        <v>6.51</v>
      </c>
      <c r="N14" s="27" t="n">
        <v>18.65</v>
      </c>
      <c r="O14" s="27" t="n">
        <v>73.41</v>
      </c>
      <c r="P14" s="27" t="n">
        <v>398.91</v>
      </c>
      <c r="Q14" s="27" t="n">
        <v>16.75</v>
      </c>
      <c r="R14" s="5" t="n">
        <v>3336.9</v>
      </c>
      <c r="S14" s="5" t="n">
        <v>3.8</v>
      </c>
      <c r="T14" s="5" t="s">
        <v>746</v>
      </c>
      <c r="U14" s="5" t="s">
        <v>747</v>
      </c>
      <c r="V14" s="5" t="s">
        <v>748</v>
      </c>
      <c r="W14" s="5" t="n">
        <v>354.3</v>
      </c>
      <c r="X14" s="5" t="s">
        <v>749</v>
      </c>
      <c r="Y14" s="5" t="s">
        <v>750</v>
      </c>
      <c r="Z14" s="5" t="n">
        <v>11</v>
      </c>
      <c r="AA14" s="5" t="n">
        <v>340.1</v>
      </c>
      <c r="AB14" s="5" t="s">
        <v>5</v>
      </c>
      <c r="AC14" s="5" t="s">
        <v>751</v>
      </c>
    </row>
    <row r="15" customFormat="false" ht="15" hidden="false" customHeight="false" outlineLevel="0" collapsed="false">
      <c r="A15" s="5" t="s">
        <v>640</v>
      </c>
      <c r="B15" s="5" t="s">
        <v>752</v>
      </c>
      <c r="C15" s="5" t="n">
        <v>171.8</v>
      </c>
      <c r="D15" s="30" t="n">
        <v>8845</v>
      </c>
      <c r="E15" s="5" t="n">
        <v>7200</v>
      </c>
      <c r="F15" s="27" t="n">
        <v>51.5</v>
      </c>
      <c r="G15" s="5" t="n">
        <v>119</v>
      </c>
      <c r="H15" s="5" t="n">
        <v>50</v>
      </c>
      <c r="I15" s="29" t="n">
        <v>0</v>
      </c>
      <c r="J15" s="5" t="s">
        <v>753</v>
      </c>
      <c r="K15" s="27" t="n">
        <v>4.24</v>
      </c>
      <c r="L15" s="27" t="n">
        <v>0.12</v>
      </c>
      <c r="M15" s="27" t="n">
        <v>3.23</v>
      </c>
      <c r="N15" s="27" t="n">
        <v>9.19</v>
      </c>
      <c r="O15" s="27" t="n">
        <v>10.31</v>
      </c>
      <c r="P15" s="27" t="n">
        <v>17.66</v>
      </c>
      <c r="Q15" s="27" t="n">
        <v>8.5</v>
      </c>
      <c r="R15" s="5" t="n">
        <v>23.1</v>
      </c>
      <c r="S15" s="5" t="n">
        <v>0.1</v>
      </c>
      <c r="T15" s="5" t="s">
        <v>754</v>
      </c>
      <c r="U15" s="5" t="s">
        <v>755</v>
      </c>
      <c r="V15" s="5" t="s">
        <v>756</v>
      </c>
      <c r="W15" s="5" t="n">
        <v>451.9</v>
      </c>
      <c r="X15" s="5" t="s">
        <v>757</v>
      </c>
      <c r="Y15" s="5" t="s">
        <v>758</v>
      </c>
      <c r="Z15" s="5" t="n">
        <v>11</v>
      </c>
      <c r="AA15" s="5" t="n">
        <v>649.9</v>
      </c>
      <c r="AB15" s="5" t="s">
        <v>5</v>
      </c>
      <c r="AC15" s="5" t="s">
        <v>759</v>
      </c>
    </row>
    <row r="16" customFormat="false" ht="35.05" hidden="false" customHeight="false" outlineLevel="0" collapsed="false">
      <c r="A16" s="5" t="s">
        <v>482</v>
      </c>
      <c r="B16" s="5" t="s">
        <v>760</v>
      </c>
      <c r="C16" s="5" t="n">
        <v>173.1</v>
      </c>
      <c r="D16" s="30" t="n">
        <v>8815</v>
      </c>
      <c r="E16" s="5" t="n">
        <v>7201</v>
      </c>
      <c r="F16" s="27" t="n">
        <v>50.9</v>
      </c>
      <c r="G16" s="5" t="n">
        <v>96</v>
      </c>
      <c r="H16" s="5" t="n">
        <v>50</v>
      </c>
      <c r="I16" s="29" t="n">
        <v>0</v>
      </c>
      <c r="J16" s="5" t="s">
        <v>761</v>
      </c>
      <c r="K16" s="27" t="n">
        <v>9.44</v>
      </c>
      <c r="L16" s="27" t="n">
        <v>0.12</v>
      </c>
      <c r="M16" s="27" t="n">
        <v>4.9</v>
      </c>
      <c r="N16" s="27" t="n">
        <v>27.71</v>
      </c>
      <c r="O16" s="27" t="n">
        <v>31.82</v>
      </c>
      <c r="P16" s="27" t="n">
        <v>37.67</v>
      </c>
      <c r="Q16" s="27" t="n">
        <v>24.26</v>
      </c>
      <c r="R16" s="5" t="n">
        <v>24.4</v>
      </c>
      <c r="S16" s="5" t="n">
        <v>0.1</v>
      </c>
      <c r="T16" s="5" t="s">
        <v>762</v>
      </c>
      <c r="U16" s="5" t="s">
        <v>763</v>
      </c>
      <c r="V16" s="5" t="s">
        <v>764</v>
      </c>
      <c r="W16" s="5" t="n">
        <v>455</v>
      </c>
      <c r="X16" s="5" t="s">
        <v>765</v>
      </c>
      <c r="Y16" s="5" t="s">
        <v>766</v>
      </c>
      <c r="Z16" s="5" t="n">
        <v>11</v>
      </c>
      <c r="AA16" s="5" t="n">
        <v>868.1</v>
      </c>
      <c r="AB16" s="5" t="s">
        <v>5</v>
      </c>
      <c r="AC16" s="5" t="s">
        <v>767</v>
      </c>
    </row>
    <row r="18" customFormat="false" ht="15" hidden="false" customHeight="false" outlineLevel="0" collapsed="false">
      <c r="A18" s="3" t="s">
        <v>768</v>
      </c>
    </row>
    <row r="19" customFormat="false" ht="30" hidden="false" customHeight="true" outlineLevel="0" collapsed="false">
      <c r="A19" s="4" t="s">
        <v>113</v>
      </c>
      <c r="B19" s="4" t="s">
        <v>25</v>
      </c>
      <c r="C19" s="4" t="s">
        <v>769</v>
      </c>
      <c r="D19" s="4" t="s">
        <v>770</v>
      </c>
      <c r="E19" s="4" t="s">
        <v>771</v>
      </c>
    </row>
    <row r="20" customFormat="false" ht="23.85" hidden="false" customHeight="false" outlineLevel="0" collapsed="false">
      <c r="A20" s="5" t="s">
        <v>581</v>
      </c>
      <c r="B20" s="5" t="s">
        <v>672</v>
      </c>
      <c r="C20" s="5" t="s">
        <v>772</v>
      </c>
      <c r="D20" s="5" t="s">
        <v>773</v>
      </c>
      <c r="E20" s="5" t="s">
        <v>5</v>
      </c>
    </row>
    <row r="21" customFormat="false" ht="23.85" hidden="false" customHeight="false" outlineLevel="0" collapsed="false">
      <c r="A21" s="5" t="s">
        <v>581</v>
      </c>
      <c r="B21" s="5" t="s">
        <v>672</v>
      </c>
      <c r="C21" s="5" t="s">
        <v>774</v>
      </c>
      <c r="D21" s="5" t="s">
        <v>775</v>
      </c>
      <c r="E21" s="5" t="s">
        <v>5</v>
      </c>
    </row>
    <row r="22" customFormat="false" ht="23.85" hidden="false" customHeight="false" outlineLevel="0" collapsed="false">
      <c r="A22" s="5" t="s">
        <v>587</v>
      </c>
      <c r="B22" s="5" t="s">
        <v>680</v>
      </c>
      <c r="C22" s="5" t="s">
        <v>774</v>
      </c>
      <c r="D22" s="5" t="s">
        <v>775</v>
      </c>
      <c r="E22" s="5" t="s">
        <v>5</v>
      </c>
    </row>
    <row r="23" customFormat="false" ht="35.05" hidden="false" customHeight="false" outlineLevel="0" collapsed="false">
      <c r="A23" s="5" t="s">
        <v>587</v>
      </c>
      <c r="B23" s="5" t="s">
        <v>680</v>
      </c>
      <c r="C23" s="5" t="s">
        <v>776</v>
      </c>
      <c r="D23" s="5" t="s">
        <v>777</v>
      </c>
      <c r="E23" s="5" t="s">
        <v>5</v>
      </c>
    </row>
    <row r="24" customFormat="false" ht="35.05" hidden="false" customHeight="false" outlineLevel="0" collapsed="false">
      <c r="A24" s="5" t="s">
        <v>593</v>
      </c>
      <c r="B24" s="5" t="s">
        <v>688</v>
      </c>
      <c r="C24" s="5" t="s">
        <v>776</v>
      </c>
      <c r="D24" s="5" t="s">
        <v>777</v>
      </c>
      <c r="E24" s="5" t="s">
        <v>5</v>
      </c>
    </row>
    <row r="25" customFormat="false" ht="35.05" hidden="false" customHeight="false" outlineLevel="0" collapsed="false">
      <c r="A25" s="5" t="s">
        <v>593</v>
      </c>
      <c r="B25" s="5" t="s">
        <v>688</v>
      </c>
      <c r="C25" s="5" t="s">
        <v>778</v>
      </c>
      <c r="D25" s="5" t="s">
        <v>779</v>
      </c>
      <c r="E25" s="5" t="s">
        <v>5</v>
      </c>
    </row>
    <row r="26" customFormat="false" ht="23.85" hidden="false" customHeight="false" outlineLevel="0" collapsed="false">
      <c r="A26" s="5" t="s">
        <v>593</v>
      </c>
      <c r="B26" s="5" t="s">
        <v>688</v>
      </c>
      <c r="C26" s="5" t="s">
        <v>774</v>
      </c>
      <c r="D26" s="5" t="s">
        <v>775</v>
      </c>
      <c r="E26" s="5" t="s">
        <v>5</v>
      </c>
    </row>
    <row r="27" customFormat="false" ht="23.85" hidden="false" customHeight="false" outlineLevel="0" collapsed="false">
      <c r="A27" s="5" t="s">
        <v>599</v>
      </c>
      <c r="B27" s="5" t="s">
        <v>696</v>
      </c>
      <c r="C27" s="5" t="s">
        <v>774</v>
      </c>
      <c r="D27" s="5" t="s">
        <v>775</v>
      </c>
      <c r="E27" s="5" t="s">
        <v>5</v>
      </c>
    </row>
    <row r="28" customFormat="false" ht="35.05" hidden="false" customHeight="false" outlineLevel="0" collapsed="false">
      <c r="A28" s="5" t="s">
        <v>599</v>
      </c>
      <c r="B28" s="5" t="s">
        <v>696</v>
      </c>
      <c r="C28" s="5" t="s">
        <v>776</v>
      </c>
      <c r="D28" s="5" t="s">
        <v>777</v>
      </c>
      <c r="E28" s="5" t="s">
        <v>5</v>
      </c>
    </row>
    <row r="29" customFormat="false" ht="23.85" hidden="false" customHeight="false" outlineLevel="0" collapsed="false">
      <c r="A29" s="5" t="s">
        <v>605</v>
      </c>
      <c r="B29" s="5" t="s">
        <v>704</v>
      </c>
      <c r="C29" s="5" t="s">
        <v>774</v>
      </c>
      <c r="D29" s="5" t="s">
        <v>775</v>
      </c>
      <c r="E29" s="5" t="s">
        <v>5</v>
      </c>
    </row>
    <row r="30" customFormat="false" ht="35.05" hidden="false" customHeight="false" outlineLevel="0" collapsed="false">
      <c r="A30" s="5" t="s">
        <v>605</v>
      </c>
      <c r="B30" s="5" t="s">
        <v>704</v>
      </c>
      <c r="C30" s="5" t="s">
        <v>776</v>
      </c>
      <c r="D30" s="5" t="s">
        <v>777</v>
      </c>
      <c r="E30" s="5" t="s">
        <v>6</v>
      </c>
    </row>
    <row r="31" customFormat="false" ht="35.05" hidden="false" customHeight="false" outlineLevel="0" collapsed="false">
      <c r="A31" s="5" t="s">
        <v>611</v>
      </c>
      <c r="B31" s="5" t="s">
        <v>712</v>
      </c>
      <c r="C31" s="5" t="s">
        <v>776</v>
      </c>
      <c r="D31" s="5" t="s">
        <v>777</v>
      </c>
      <c r="E31" s="5" t="s">
        <v>5</v>
      </c>
    </row>
    <row r="32" customFormat="false" ht="23.85" hidden="false" customHeight="false" outlineLevel="0" collapsed="false">
      <c r="A32" s="5" t="s">
        <v>611</v>
      </c>
      <c r="B32" s="5" t="s">
        <v>712</v>
      </c>
      <c r="C32" s="5" t="s">
        <v>774</v>
      </c>
      <c r="D32" s="5" t="s">
        <v>775</v>
      </c>
      <c r="E32" s="5" t="s">
        <v>5</v>
      </c>
    </row>
    <row r="33" customFormat="false" ht="46.25" hidden="false" customHeight="false" outlineLevel="0" collapsed="false">
      <c r="A33" s="5" t="s">
        <v>436</v>
      </c>
      <c r="B33" s="5" t="s">
        <v>720</v>
      </c>
      <c r="C33" s="5" t="s">
        <v>780</v>
      </c>
      <c r="D33" s="5" t="s">
        <v>779</v>
      </c>
      <c r="E33" s="5" t="s">
        <v>5</v>
      </c>
    </row>
    <row r="34" customFormat="false" ht="23.85" hidden="false" customHeight="false" outlineLevel="0" collapsed="false">
      <c r="A34" s="5" t="s">
        <v>436</v>
      </c>
      <c r="B34" s="5" t="s">
        <v>720</v>
      </c>
      <c r="C34" s="5" t="s">
        <v>774</v>
      </c>
      <c r="D34" s="5" t="s">
        <v>775</v>
      </c>
      <c r="E34" s="5" t="s">
        <v>5</v>
      </c>
    </row>
    <row r="35" customFormat="false" ht="46.25" hidden="false" customHeight="false" outlineLevel="0" collapsed="false">
      <c r="A35" s="5" t="s">
        <v>622</v>
      </c>
      <c r="B35" s="5" t="s">
        <v>728</v>
      </c>
      <c r="C35" s="5" t="s">
        <v>781</v>
      </c>
      <c r="D35" s="5" t="s">
        <v>779</v>
      </c>
      <c r="E35" s="5" t="s">
        <v>5</v>
      </c>
    </row>
    <row r="36" customFormat="false" ht="23.85" hidden="false" customHeight="false" outlineLevel="0" collapsed="false">
      <c r="A36" s="5" t="s">
        <v>622</v>
      </c>
      <c r="B36" s="5" t="s">
        <v>728</v>
      </c>
      <c r="C36" s="5" t="s">
        <v>774</v>
      </c>
      <c r="D36" s="5" t="s">
        <v>775</v>
      </c>
      <c r="E36" s="5" t="s">
        <v>5</v>
      </c>
    </row>
    <row r="37" customFormat="false" ht="23.85" hidden="false" customHeight="false" outlineLevel="0" collapsed="false">
      <c r="A37" s="5" t="s">
        <v>628</v>
      </c>
      <c r="B37" s="5" t="s">
        <v>736</v>
      </c>
      <c r="C37" s="5" t="s">
        <v>774</v>
      </c>
      <c r="D37" s="5" t="s">
        <v>775</v>
      </c>
      <c r="E37" s="5" t="s">
        <v>5</v>
      </c>
    </row>
    <row r="38" customFormat="false" ht="46.25" hidden="false" customHeight="false" outlineLevel="0" collapsed="false">
      <c r="A38" s="5" t="s">
        <v>628</v>
      </c>
      <c r="B38" s="5" t="s">
        <v>736</v>
      </c>
      <c r="C38" s="5" t="s">
        <v>782</v>
      </c>
      <c r="D38" s="5" t="s">
        <v>783</v>
      </c>
      <c r="E38" s="5" t="s">
        <v>5</v>
      </c>
    </row>
    <row r="39" customFormat="false" ht="35.05" hidden="false" customHeight="false" outlineLevel="0" collapsed="false">
      <c r="A39" s="5" t="s">
        <v>634</v>
      </c>
      <c r="B39" s="5" t="s">
        <v>744</v>
      </c>
      <c r="C39" s="5" t="s">
        <v>778</v>
      </c>
      <c r="D39" s="5" t="s">
        <v>779</v>
      </c>
      <c r="E39" s="5" t="s">
        <v>5</v>
      </c>
    </row>
    <row r="40" customFormat="false" ht="35.05" hidden="false" customHeight="false" outlineLevel="0" collapsed="false">
      <c r="A40" s="5" t="s">
        <v>634</v>
      </c>
      <c r="B40" s="5" t="s">
        <v>744</v>
      </c>
      <c r="C40" s="5" t="s">
        <v>776</v>
      </c>
      <c r="D40" s="5" t="s">
        <v>777</v>
      </c>
      <c r="E40" s="5" t="s">
        <v>5</v>
      </c>
    </row>
    <row r="41" customFormat="false" ht="23.85" hidden="false" customHeight="false" outlineLevel="0" collapsed="false">
      <c r="A41" s="5" t="s">
        <v>634</v>
      </c>
      <c r="B41" s="5" t="s">
        <v>744</v>
      </c>
      <c r="C41" s="5" t="s">
        <v>774</v>
      </c>
      <c r="D41" s="5" t="s">
        <v>775</v>
      </c>
      <c r="E41" s="5" t="s">
        <v>5</v>
      </c>
    </row>
    <row r="42" customFormat="false" ht="23.85" hidden="false" customHeight="false" outlineLevel="0" collapsed="false">
      <c r="A42" s="5" t="s">
        <v>640</v>
      </c>
      <c r="B42" s="5" t="s">
        <v>752</v>
      </c>
      <c r="C42" s="5" t="s">
        <v>774</v>
      </c>
      <c r="D42" s="5" t="s">
        <v>775</v>
      </c>
      <c r="E42" s="5" t="s">
        <v>5</v>
      </c>
    </row>
    <row r="43" customFormat="false" ht="35.05" hidden="false" customHeight="false" outlineLevel="0" collapsed="false">
      <c r="A43" s="5" t="s">
        <v>640</v>
      </c>
      <c r="B43" s="5" t="s">
        <v>752</v>
      </c>
      <c r="C43" s="5" t="s">
        <v>776</v>
      </c>
      <c r="D43" s="5" t="s">
        <v>777</v>
      </c>
      <c r="E43" s="5" t="s">
        <v>5</v>
      </c>
    </row>
    <row r="44" customFormat="false" ht="35.05" hidden="false" customHeight="false" outlineLevel="0" collapsed="false">
      <c r="A44" s="5" t="s">
        <v>482</v>
      </c>
      <c r="B44" s="5" t="s">
        <v>760</v>
      </c>
      <c r="C44" s="5" t="s">
        <v>776</v>
      </c>
      <c r="D44" s="5" t="s">
        <v>777</v>
      </c>
      <c r="E44" s="5" t="s">
        <v>5</v>
      </c>
    </row>
    <row r="45" customFormat="false" ht="23.85" hidden="false" customHeight="false" outlineLevel="0" collapsed="false">
      <c r="A45" s="5" t="s">
        <v>482</v>
      </c>
      <c r="B45" s="5" t="s">
        <v>760</v>
      </c>
      <c r="C45" s="5" t="s">
        <v>774</v>
      </c>
      <c r="D45" s="5" t="s">
        <v>775</v>
      </c>
      <c r="E45" s="5" t="s">
        <v>5</v>
      </c>
    </row>
    <row r="47" customFormat="false" ht="15" hidden="false" customHeight="false" outlineLevel="0" collapsed="false">
      <c r="A47" s="3" t="s">
        <v>784</v>
      </c>
    </row>
    <row r="48" customFormat="false" ht="30" hidden="false" customHeight="true" outlineLevel="0" collapsed="false">
      <c r="A48" s="4" t="s">
        <v>113</v>
      </c>
      <c r="B48" s="4" t="s">
        <v>25</v>
      </c>
      <c r="C48" s="4" t="s">
        <v>785</v>
      </c>
      <c r="D48" s="4" t="s">
        <v>786</v>
      </c>
      <c r="E48" s="4" t="s">
        <v>787</v>
      </c>
      <c r="F48" s="4" t="s">
        <v>788</v>
      </c>
    </row>
  </sheetData>
  <conditionalFormatting sqref="AB5:AB17 E20:E46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"SKIP"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11" min="5" style="0" width="9"/>
    <col collapsed="false" customWidth="true" hidden="false" outlineLevel="0" max="12" min="12" style="0" width="10"/>
    <col collapsed="false" customWidth="true" hidden="false" outlineLevel="0" max="13" min="13" style="0" width="9"/>
  </cols>
  <sheetData>
    <row r="1" customFormat="false" ht="17.35" hidden="false" customHeight="false" outlineLevel="0" collapsed="false">
      <c r="A1" s="1" t="s">
        <v>789</v>
      </c>
    </row>
    <row r="3" customFormat="false" ht="30" hidden="false" customHeight="true" outlineLevel="0" collapsed="false">
      <c r="A3" s="4" t="s">
        <v>113</v>
      </c>
      <c r="B3" s="4" t="s">
        <v>25</v>
      </c>
      <c r="C3" s="4" t="s">
        <v>790</v>
      </c>
      <c r="D3" s="4" t="s">
        <v>26</v>
      </c>
      <c r="E3" s="4" t="s">
        <v>791</v>
      </c>
      <c r="F3" s="4" t="s">
        <v>792</v>
      </c>
      <c r="G3" s="4" t="s">
        <v>793</v>
      </c>
      <c r="H3" s="4" t="s">
        <v>794</v>
      </c>
      <c r="I3" s="4" t="s">
        <v>795</v>
      </c>
      <c r="J3" s="4" t="s">
        <v>796</v>
      </c>
      <c r="K3" s="4" t="s">
        <v>797</v>
      </c>
      <c r="L3" s="4" t="s">
        <v>798</v>
      </c>
      <c r="M3" s="4" t="s">
        <v>799</v>
      </c>
    </row>
    <row r="4" customFormat="false" ht="15" hidden="false" customHeight="false" outlineLevel="0" collapsed="false">
      <c r="A4" s="5" t="s">
        <v>581</v>
      </c>
      <c r="B4" s="5" t="s">
        <v>672</v>
      </c>
      <c r="C4" s="5" t="s">
        <v>800</v>
      </c>
      <c r="D4" s="30" t="n">
        <v>56</v>
      </c>
      <c r="E4" s="5" t="n">
        <v>0</v>
      </c>
      <c r="F4" s="27" t="n">
        <v>2.3</v>
      </c>
      <c r="G4" s="27" t="n">
        <v>1.22</v>
      </c>
      <c r="H4" s="27" t="n">
        <v>1.98</v>
      </c>
      <c r="I4" s="27" t="n">
        <v>2.63</v>
      </c>
      <c r="J4" s="27" t="n">
        <v>4.43</v>
      </c>
      <c r="K4" s="27" t="n">
        <v>8.88</v>
      </c>
      <c r="L4" s="27" t="n">
        <v>9.2</v>
      </c>
      <c r="M4" s="29" t="n">
        <f aca="false">IF(D4=0,0,E4/D4)</f>
        <v>0</v>
      </c>
    </row>
    <row r="5" customFormat="false" ht="15" hidden="false" customHeight="false" outlineLevel="0" collapsed="false">
      <c r="A5" s="5" t="s">
        <v>581</v>
      </c>
      <c r="B5" s="5" t="s">
        <v>672</v>
      </c>
      <c r="C5" s="5" t="s">
        <v>801</v>
      </c>
      <c r="D5" s="30" t="n">
        <v>28</v>
      </c>
      <c r="E5" s="5" t="n">
        <v>0</v>
      </c>
      <c r="F5" s="27" t="n">
        <v>2.43</v>
      </c>
      <c r="G5" s="27" t="n">
        <v>1.82</v>
      </c>
      <c r="H5" s="27" t="n">
        <v>2.41</v>
      </c>
      <c r="I5" s="27" t="n">
        <v>2.87</v>
      </c>
      <c r="J5" s="27" t="n">
        <v>3.22</v>
      </c>
      <c r="K5" s="27" t="n">
        <v>3.5</v>
      </c>
      <c r="L5" s="27" t="n">
        <v>3.56</v>
      </c>
      <c r="M5" s="29" t="n">
        <f aca="false">IF(D5=0,0,E5/D5)</f>
        <v>0</v>
      </c>
    </row>
    <row r="6" customFormat="false" ht="15" hidden="false" customHeight="false" outlineLevel="0" collapsed="false">
      <c r="A6" s="5" t="s">
        <v>581</v>
      </c>
      <c r="B6" s="5" t="s">
        <v>672</v>
      </c>
      <c r="C6" s="5" t="s">
        <v>802</v>
      </c>
      <c r="D6" s="30" t="n">
        <v>28</v>
      </c>
      <c r="E6" s="5" t="n">
        <v>0</v>
      </c>
      <c r="F6" s="27" t="n">
        <v>17.33</v>
      </c>
      <c r="G6" s="27" t="n">
        <v>9.8</v>
      </c>
      <c r="H6" s="27" t="n">
        <v>17.62</v>
      </c>
      <c r="I6" s="27" t="n">
        <v>25.88</v>
      </c>
      <c r="J6" s="27" t="n">
        <v>26.78</v>
      </c>
      <c r="K6" s="27" t="n">
        <v>29.27</v>
      </c>
      <c r="L6" s="27" t="n">
        <v>30.13</v>
      </c>
      <c r="M6" s="29" t="n">
        <f aca="false">IF(D6=0,0,E6/D6)</f>
        <v>0</v>
      </c>
    </row>
    <row r="7" customFormat="false" ht="15" hidden="false" customHeight="false" outlineLevel="0" collapsed="false">
      <c r="A7" s="5" t="s">
        <v>581</v>
      </c>
      <c r="B7" s="5" t="s">
        <v>672</v>
      </c>
      <c r="C7" s="5" t="s">
        <v>803</v>
      </c>
      <c r="D7" s="30" t="n">
        <v>28</v>
      </c>
      <c r="E7" s="5" t="n">
        <v>0</v>
      </c>
      <c r="F7" s="27" t="n">
        <v>7.36</v>
      </c>
      <c r="G7" s="27" t="n">
        <v>5.46</v>
      </c>
      <c r="H7" s="27" t="n">
        <v>7.04</v>
      </c>
      <c r="I7" s="27" t="n">
        <v>8.95</v>
      </c>
      <c r="J7" s="27" t="n">
        <v>9.37</v>
      </c>
      <c r="K7" s="27" t="n">
        <v>11.34</v>
      </c>
      <c r="L7" s="27" t="n">
        <v>12</v>
      </c>
      <c r="M7" s="29" t="n">
        <f aca="false">IF(D7=0,0,E7/D7)</f>
        <v>0</v>
      </c>
    </row>
    <row r="8" customFormat="false" ht="15" hidden="false" customHeight="false" outlineLevel="0" collapsed="false">
      <c r="A8" s="5" t="s">
        <v>581</v>
      </c>
      <c r="B8" s="5" t="s">
        <v>672</v>
      </c>
      <c r="C8" s="5" t="s">
        <v>804</v>
      </c>
      <c r="D8" s="30" t="n">
        <v>28</v>
      </c>
      <c r="E8" s="5" t="n">
        <v>0</v>
      </c>
      <c r="F8" s="27" t="n">
        <v>110.97</v>
      </c>
      <c r="G8" s="27" t="n">
        <v>106.67</v>
      </c>
      <c r="H8" s="27" t="n">
        <v>110.93</v>
      </c>
      <c r="I8" s="27" t="n">
        <v>114</v>
      </c>
      <c r="J8" s="27" t="n">
        <v>117.23</v>
      </c>
      <c r="K8" s="27" t="n">
        <v>118.22</v>
      </c>
      <c r="L8" s="27" t="n">
        <v>118.34</v>
      </c>
      <c r="M8" s="29" t="n">
        <f aca="false">IF(D8=0,0,E8/D8)</f>
        <v>0</v>
      </c>
    </row>
    <row r="9" customFormat="false" ht="15" hidden="false" customHeight="false" outlineLevel="0" collapsed="false">
      <c r="A9" s="5" t="s">
        <v>581</v>
      </c>
      <c r="B9" s="5" t="s">
        <v>672</v>
      </c>
      <c r="C9" s="5" t="s">
        <v>805</v>
      </c>
      <c r="D9" s="30" t="n">
        <v>28</v>
      </c>
      <c r="E9" s="5" t="n">
        <v>0</v>
      </c>
      <c r="F9" s="27" t="n">
        <v>14.61</v>
      </c>
      <c r="G9" s="27" t="n">
        <v>10.48</v>
      </c>
      <c r="H9" s="27" t="n">
        <v>14.39</v>
      </c>
      <c r="I9" s="27" t="n">
        <v>17.15</v>
      </c>
      <c r="J9" s="27" t="n">
        <v>18.06</v>
      </c>
      <c r="K9" s="27" t="n">
        <v>21.81</v>
      </c>
      <c r="L9" s="27" t="n">
        <v>23.05</v>
      </c>
      <c r="M9" s="29" t="n">
        <f aca="false">IF(D9=0,0,E9/D9)</f>
        <v>0</v>
      </c>
    </row>
    <row r="10" customFormat="false" ht="15" hidden="false" customHeight="false" outlineLevel="0" collapsed="false">
      <c r="A10" s="5" t="s">
        <v>581</v>
      </c>
      <c r="B10" s="5" t="s">
        <v>672</v>
      </c>
      <c r="C10" s="5" t="s">
        <v>806</v>
      </c>
      <c r="D10" s="30" t="n">
        <v>28</v>
      </c>
      <c r="E10" s="5" t="n">
        <v>0</v>
      </c>
      <c r="F10" s="27" t="n">
        <v>22.19</v>
      </c>
      <c r="G10" s="27" t="n">
        <v>17.82</v>
      </c>
      <c r="H10" s="27" t="n">
        <v>21.67</v>
      </c>
      <c r="I10" s="27" t="n">
        <v>25.18</v>
      </c>
      <c r="J10" s="27" t="n">
        <v>26.71</v>
      </c>
      <c r="K10" s="27" t="n">
        <v>28.63</v>
      </c>
      <c r="L10" s="27" t="n">
        <v>29.21</v>
      </c>
      <c r="M10" s="29" t="n">
        <f aca="false">IF(D10=0,0,E10/D10)</f>
        <v>0</v>
      </c>
    </row>
    <row r="11" customFormat="false" ht="15" hidden="false" customHeight="false" outlineLevel="0" collapsed="false">
      <c r="A11" s="5" t="s">
        <v>581</v>
      </c>
      <c r="B11" s="5" t="s">
        <v>672</v>
      </c>
      <c r="C11" s="5" t="s">
        <v>807</v>
      </c>
      <c r="D11" s="30" t="n">
        <v>28</v>
      </c>
      <c r="E11" s="5" t="n">
        <v>0</v>
      </c>
      <c r="F11" s="27" t="n">
        <v>28.9</v>
      </c>
      <c r="G11" s="27" t="n">
        <v>23.95</v>
      </c>
      <c r="H11" s="27" t="n">
        <v>28.83</v>
      </c>
      <c r="I11" s="27" t="n">
        <v>32.38</v>
      </c>
      <c r="J11" s="27" t="n">
        <v>33.13</v>
      </c>
      <c r="K11" s="27" t="n">
        <v>34.4</v>
      </c>
      <c r="L11" s="27" t="n">
        <v>34.75</v>
      </c>
      <c r="M11" s="29" t="n">
        <f aca="false">IF(D11=0,0,E11/D11)</f>
        <v>0</v>
      </c>
    </row>
    <row r="12" customFormat="false" ht="15" hidden="false" customHeight="false" outlineLevel="0" collapsed="false">
      <c r="A12" s="5" t="s">
        <v>581</v>
      </c>
      <c r="B12" s="5" t="s">
        <v>672</v>
      </c>
      <c r="C12" s="5" t="s">
        <v>808</v>
      </c>
      <c r="D12" s="30" t="n">
        <v>22</v>
      </c>
      <c r="E12" s="5" t="n">
        <v>0</v>
      </c>
      <c r="F12" s="27" t="n">
        <v>19.18</v>
      </c>
      <c r="G12" s="27" t="n">
        <v>0.76</v>
      </c>
      <c r="H12" s="27" t="n">
        <v>18.13</v>
      </c>
      <c r="I12" s="27" t="n">
        <v>26.96</v>
      </c>
      <c r="J12" s="27" t="n">
        <v>28.49</v>
      </c>
      <c r="K12" s="27" t="n">
        <v>33.75</v>
      </c>
      <c r="L12" s="27" t="n">
        <v>35.13</v>
      </c>
      <c r="M12" s="29" t="n">
        <f aca="false">IF(D12=0,0,E12/D12)</f>
        <v>0</v>
      </c>
    </row>
    <row r="13" customFormat="false" ht="15" hidden="false" customHeight="false" outlineLevel="0" collapsed="false">
      <c r="A13" s="5" t="s">
        <v>581</v>
      </c>
      <c r="B13" s="5" t="s">
        <v>672</v>
      </c>
      <c r="C13" s="5" t="s">
        <v>809</v>
      </c>
      <c r="D13" s="30" t="n">
        <v>18</v>
      </c>
      <c r="E13" s="5" t="n">
        <v>0</v>
      </c>
      <c r="F13" s="27" t="n">
        <v>19.16</v>
      </c>
      <c r="G13" s="27" t="n">
        <v>16.06</v>
      </c>
      <c r="H13" s="27" t="n">
        <v>18.73</v>
      </c>
      <c r="I13" s="27" t="n">
        <v>22.26</v>
      </c>
      <c r="J13" s="27" t="n">
        <v>22.45</v>
      </c>
      <c r="K13" s="27" t="n">
        <v>22.47</v>
      </c>
      <c r="L13" s="27" t="n">
        <v>22.47</v>
      </c>
      <c r="M13" s="29" t="n">
        <f aca="false">IF(D13=0,0,E13/D13)</f>
        <v>0</v>
      </c>
    </row>
    <row r="14" customFormat="false" ht="15" hidden="false" customHeight="false" outlineLevel="0" collapsed="false">
      <c r="A14" s="5" t="s">
        <v>581</v>
      </c>
      <c r="B14" s="5" t="s">
        <v>672</v>
      </c>
      <c r="C14" s="5" t="s">
        <v>810</v>
      </c>
      <c r="D14" s="30" t="n">
        <v>7</v>
      </c>
      <c r="E14" s="5" t="n">
        <v>0</v>
      </c>
      <c r="F14" s="27" t="n">
        <v>9.2</v>
      </c>
      <c r="G14" s="27" t="n">
        <v>7.16</v>
      </c>
      <c r="H14" s="27" t="n">
        <v>9.05</v>
      </c>
      <c r="I14" s="27" t="n">
        <v>11.09</v>
      </c>
      <c r="J14" s="27" t="n">
        <v>12.38</v>
      </c>
      <c r="K14" s="27" t="n">
        <v>13.41</v>
      </c>
      <c r="L14" s="27" t="n">
        <v>13.67</v>
      </c>
      <c r="M14" s="29" t="n">
        <f aca="false">IF(D14=0,0,E14/D14)</f>
        <v>0</v>
      </c>
    </row>
    <row r="15" customFormat="false" ht="15" hidden="false" customHeight="false" outlineLevel="0" collapsed="false">
      <c r="A15" s="5" t="s">
        <v>581</v>
      </c>
      <c r="B15" s="5" t="s">
        <v>672</v>
      </c>
      <c r="C15" s="5" t="s">
        <v>811</v>
      </c>
      <c r="D15" s="30" t="n">
        <v>6</v>
      </c>
      <c r="E15" s="5" t="n">
        <v>0</v>
      </c>
      <c r="F15" s="27" t="n">
        <v>46.56</v>
      </c>
      <c r="G15" s="27" t="n">
        <v>41.19</v>
      </c>
      <c r="H15" s="27" t="n">
        <v>46.85</v>
      </c>
      <c r="I15" s="27" t="n">
        <v>49.24</v>
      </c>
      <c r="J15" s="27" t="n">
        <v>50.14</v>
      </c>
      <c r="K15" s="27" t="n">
        <v>50.87</v>
      </c>
      <c r="L15" s="27" t="n">
        <v>51.05</v>
      </c>
      <c r="M15" s="29" t="n">
        <f aca="false">IF(D15=0,0,E15/D15)</f>
        <v>0</v>
      </c>
    </row>
    <row r="16" customFormat="false" ht="15" hidden="false" customHeight="false" outlineLevel="0" collapsed="false">
      <c r="A16" s="5" t="s">
        <v>581</v>
      </c>
      <c r="B16" s="5" t="s">
        <v>672</v>
      </c>
      <c r="C16" s="5" t="s">
        <v>812</v>
      </c>
      <c r="D16" s="30" t="n">
        <v>6</v>
      </c>
      <c r="E16" s="5" t="n">
        <v>0</v>
      </c>
      <c r="F16" s="27" t="n">
        <v>215.53</v>
      </c>
      <c r="G16" s="27" t="n">
        <v>109.51</v>
      </c>
      <c r="H16" s="27" t="n">
        <v>217.92</v>
      </c>
      <c r="I16" s="27" t="n">
        <v>299.96</v>
      </c>
      <c r="J16" s="27" t="n">
        <v>330.26</v>
      </c>
      <c r="K16" s="27" t="n">
        <v>354.5</v>
      </c>
      <c r="L16" s="27" t="n">
        <v>360.56</v>
      </c>
      <c r="M16" s="29" t="n">
        <f aca="false">IF(D16=0,0,E16/D16)</f>
        <v>0</v>
      </c>
    </row>
    <row r="17" customFormat="false" ht="15" hidden="false" customHeight="false" outlineLevel="0" collapsed="false">
      <c r="A17" s="5" t="s">
        <v>581</v>
      </c>
      <c r="B17" s="5" t="s">
        <v>672</v>
      </c>
      <c r="C17" s="5" t="s">
        <v>813</v>
      </c>
      <c r="D17" s="30" t="n">
        <v>6</v>
      </c>
      <c r="E17" s="5" t="n">
        <v>0</v>
      </c>
      <c r="F17" s="27" t="n">
        <v>16.72</v>
      </c>
      <c r="G17" s="27" t="n">
        <v>10.33</v>
      </c>
      <c r="H17" s="27" t="n">
        <v>14.47</v>
      </c>
      <c r="I17" s="27" t="n">
        <v>24.32</v>
      </c>
      <c r="J17" s="27" t="n">
        <v>28</v>
      </c>
      <c r="K17" s="27" t="n">
        <v>30.95</v>
      </c>
      <c r="L17" s="27" t="n">
        <v>31.69</v>
      </c>
      <c r="M17" s="29" t="n">
        <f aca="false">IF(D17=0,0,E17/D17)</f>
        <v>0</v>
      </c>
    </row>
    <row r="18" customFormat="false" ht="15" hidden="false" customHeight="false" outlineLevel="0" collapsed="false">
      <c r="A18" s="5" t="s">
        <v>581</v>
      </c>
      <c r="B18" s="5" t="s">
        <v>672</v>
      </c>
      <c r="C18" s="5" t="s">
        <v>814</v>
      </c>
      <c r="D18" s="30" t="n">
        <v>3</v>
      </c>
      <c r="E18" s="5" t="n">
        <v>0</v>
      </c>
      <c r="F18" s="27" t="n">
        <v>10.36</v>
      </c>
      <c r="G18" s="27" t="n">
        <v>9.74</v>
      </c>
      <c r="H18" s="27" t="n">
        <v>10.52</v>
      </c>
      <c r="I18" s="27" t="n">
        <v>10.75</v>
      </c>
      <c r="J18" s="27" t="n">
        <v>10.78</v>
      </c>
      <c r="K18" s="27" t="n">
        <v>10.8</v>
      </c>
      <c r="L18" s="27" t="n">
        <v>10.81</v>
      </c>
      <c r="M18" s="29" t="n">
        <f aca="false">IF(D18=0,0,E18/D18)</f>
        <v>0</v>
      </c>
    </row>
    <row r="19" customFormat="false" ht="15" hidden="false" customHeight="false" outlineLevel="0" collapsed="false">
      <c r="A19" s="5" t="s">
        <v>587</v>
      </c>
      <c r="B19" s="5" t="s">
        <v>680</v>
      </c>
      <c r="C19" s="5" t="s">
        <v>808</v>
      </c>
      <c r="D19" s="30" t="n">
        <v>2591</v>
      </c>
      <c r="E19" s="5" t="n">
        <v>0</v>
      </c>
      <c r="F19" s="27" t="n">
        <v>10.23</v>
      </c>
      <c r="G19" s="27" t="n">
        <v>0.29</v>
      </c>
      <c r="H19" s="27" t="n">
        <v>11.58</v>
      </c>
      <c r="I19" s="27" t="n">
        <v>15.79</v>
      </c>
      <c r="J19" s="27" t="n">
        <v>16.52</v>
      </c>
      <c r="K19" s="27" t="n">
        <v>18.27</v>
      </c>
      <c r="L19" s="27" t="n">
        <v>34.19</v>
      </c>
      <c r="M19" s="29" t="n">
        <f aca="false">IF(D19=0,0,E19/D19)</f>
        <v>0</v>
      </c>
    </row>
    <row r="20" customFormat="false" ht="15" hidden="false" customHeight="false" outlineLevel="0" collapsed="false">
      <c r="A20" s="5" t="s">
        <v>587</v>
      </c>
      <c r="B20" s="5" t="s">
        <v>680</v>
      </c>
      <c r="C20" s="5" t="s">
        <v>802</v>
      </c>
      <c r="D20" s="30" t="n">
        <v>1897</v>
      </c>
      <c r="E20" s="5" t="n">
        <v>0</v>
      </c>
      <c r="F20" s="27" t="n">
        <v>7.85</v>
      </c>
      <c r="G20" s="27" t="n">
        <v>2.63</v>
      </c>
      <c r="H20" s="27" t="n">
        <v>6.6</v>
      </c>
      <c r="I20" s="27" t="n">
        <v>12.17</v>
      </c>
      <c r="J20" s="27" t="n">
        <v>12.6</v>
      </c>
      <c r="K20" s="27" t="n">
        <v>13.54</v>
      </c>
      <c r="L20" s="27" t="n">
        <v>28.38</v>
      </c>
      <c r="M20" s="29" t="n">
        <f aca="false">IF(D20=0,0,E20/D20)</f>
        <v>0</v>
      </c>
    </row>
    <row r="21" customFormat="false" ht="15" hidden="false" customHeight="false" outlineLevel="0" collapsed="false">
      <c r="A21" s="5" t="s">
        <v>587</v>
      </c>
      <c r="B21" s="5" t="s">
        <v>680</v>
      </c>
      <c r="C21" s="5" t="s">
        <v>813</v>
      </c>
      <c r="D21" s="30" t="n">
        <v>1122</v>
      </c>
      <c r="E21" s="5" t="n">
        <v>0</v>
      </c>
      <c r="F21" s="27" t="n">
        <v>5.69</v>
      </c>
      <c r="G21" s="27" t="n">
        <v>2.81</v>
      </c>
      <c r="H21" s="27" t="n">
        <v>5.12</v>
      </c>
      <c r="I21" s="27" t="n">
        <v>7.95</v>
      </c>
      <c r="J21" s="27" t="n">
        <v>9.08</v>
      </c>
      <c r="K21" s="27" t="n">
        <v>14.81</v>
      </c>
      <c r="L21" s="27" t="n">
        <v>24.01</v>
      </c>
      <c r="M21" s="29" t="n">
        <f aca="false">IF(D21=0,0,E21/D21)</f>
        <v>0</v>
      </c>
    </row>
    <row r="22" customFormat="false" ht="15" hidden="false" customHeight="false" outlineLevel="0" collapsed="false">
      <c r="A22" s="5" t="s">
        <v>587</v>
      </c>
      <c r="B22" s="5" t="s">
        <v>680</v>
      </c>
      <c r="C22" s="5" t="s">
        <v>814</v>
      </c>
      <c r="D22" s="30" t="n">
        <v>903</v>
      </c>
      <c r="E22" s="5" t="n">
        <v>0</v>
      </c>
      <c r="F22" s="27" t="n">
        <v>5.01</v>
      </c>
      <c r="G22" s="27" t="n">
        <v>3.27</v>
      </c>
      <c r="H22" s="27" t="n">
        <v>4.96</v>
      </c>
      <c r="I22" s="27" t="n">
        <v>5.87</v>
      </c>
      <c r="J22" s="27" t="n">
        <v>6.24</v>
      </c>
      <c r="K22" s="27" t="n">
        <v>7.1</v>
      </c>
      <c r="L22" s="27" t="n">
        <v>27.76</v>
      </c>
      <c r="M22" s="29" t="n">
        <f aca="false">IF(D22=0,0,E22/D22)</f>
        <v>0</v>
      </c>
    </row>
    <row r="23" customFormat="false" ht="15" hidden="false" customHeight="false" outlineLevel="0" collapsed="false">
      <c r="A23" s="5" t="s">
        <v>587</v>
      </c>
      <c r="B23" s="5" t="s">
        <v>680</v>
      </c>
      <c r="C23" s="5" t="s">
        <v>803</v>
      </c>
      <c r="D23" s="30" t="n">
        <v>737</v>
      </c>
      <c r="E23" s="5" t="n">
        <v>0</v>
      </c>
      <c r="F23" s="27" t="n">
        <v>3.66</v>
      </c>
      <c r="G23" s="27" t="n">
        <v>2.19</v>
      </c>
      <c r="H23" s="27" t="n">
        <v>3.67</v>
      </c>
      <c r="I23" s="27" t="n">
        <v>4.47</v>
      </c>
      <c r="J23" s="27" t="n">
        <v>4.66</v>
      </c>
      <c r="K23" s="27" t="n">
        <v>5.2</v>
      </c>
      <c r="L23" s="27" t="n">
        <v>12.3</v>
      </c>
      <c r="M23" s="29" t="n">
        <f aca="false">IF(D23=0,0,E23/D23)</f>
        <v>0</v>
      </c>
    </row>
    <row r="24" customFormat="false" ht="15" hidden="false" customHeight="false" outlineLevel="0" collapsed="false">
      <c r="A24" s="5" t="s">
        <v>587</v>
      </c>
      <c r="B24" s="5" t="s">
        <v>680</v>
      </c>
      <c r="C24" s="5" t="s">
        <v>810</v>
      </c>
      <c r="D24" s="30" t="n">
        <v>372</v>
      </c>
      <c r="E24" s="5" t="n">
        <v>0</v>
      </c>
      <c r="F24" s="27" t="n">
        <v>3.57</v>
      </c>
      <c r="G24" s="27" t="n">
        <v>2.48</v>
      </c>
      <c r="H24" s="27" t="n">
        <v>3.52</v>
      </c>
      <c r="I24" s="27" t="n">
        <v>4</v>
      </c>
      <c r="J24" s="27" t="n">
        <v>4.16</v>
      </c>
      <c r="K24" s="27" t="n">
        <v>4.87</v>
      </c>
      <c r="L24" s="27" t="n">
        <v>5.57</v>
      </c>
      <c r="M24" s="29" t="n">
        <f aca="false">IF(D24=0,0,E24/D24)</f>
        <v>0</v>
      </c>
    </row>
    <row r="25" customFormat="false" ht="15" hidden="false" customHeight="false" outlineLevel="0" collapsed="false">
      <c r="A25" s="5" t="s">
        <v>587</v>
      </c>
      <c r="B25" s="5" t="s">
        <v>680</v>
      </c>
      <c r="C25" s="5" t="s">
        <v>800</v>
      </c>
      <c r="D25" s="30" t="n">
        <v>100</v>
      </c>
      <c r="E25" s="5" t="n">
        <v>0</v>
      </c>
      <c r="F25" s="27" t="n">
        <v>2.27</v>
      </c>
      <c r="G25" s="27" t="n">
        <v>1.08</v>
      </c>
      <c r="H25" s="27" t="n">
        <v>2.03</v>
      </c>
      <c r="I25" s="27" t="n">
        <v>3.16</v>
      </c>
      <c r="J25" s="27" t="n">
        <v>3.83</v>
      </c>
      <c r="K25" s="27" t="n">
        <v>6.03</v>
      </c>
      <c r="L25" s="27" t="n">
        <v>6.23</v>
      </c>
      <c r="M25" s="29" t="n">
        <f aca="false">IF(D25=0,0,E25/D25)</f>
        <v>0</v>
      </c>
    </row>
    <row r="26" customFormat="false" ht="15" hidden="false" customHeight="false" outlineLevel="0" collapsed="false">
      <c r="A26" s="5" t="s">
        <v>587</v>
      </c>
      <c r="B26" s="5" t="s">
        <v>680</v>
      </c>
      <c r="C26" s="5" t="s">
        <v>801</v>
      </c>
      <c r="D26" s="30" t="n">
        <v>50</v>
      </c>
      <c r="E26" s="5" t="n">
        <v>0</v>
      </c>
      <c r="F26" s="27" t="n">
        <v>2.2</v>
      </c>
      <c r="G26" s="27" t="n">
        <v>1.66</v>
      </c>
      <c r="H26" s="27" t="n">
        <v>2.18</v>
      </c>
      <c r="I26" s="27" t="n">
        <v>2.48</v>
      </c>
      <c r="J26" s="27" t="n">
        <v>2.74</v>
      </c>
      <c r="K26" s="27" t="n">
        <v>2.87</v>
      </c>
      <c r="L26" s="27" t="n">
        <v>2.88</v>
      </c>
      <c r="M26" s="29" t="n">
        <f aca="false">IF(D26=0,0,E26/D26)</f>
        <v>0</v>
      </c>
    </row>
    <row r="27" customFormat="false" ht="23.85" hidden="false" customHeight="false" outlineLevel="0" collapsed="false">
      <c r="A27" s="5" t="s">
        <v>593</v>
      </c>
      <c r="B27" s="5" t="s">
        <v>688</v>
      </c>
      <c r="C27" s="5" t="s">
        <v>808</v>
      </c>
      <c r="D27" s="30" t="n">
        <v>6304</v>
      </c>
      <c r="E27" s="5" t="n">
        <v>0</v>
      </c>
      <c r="F27" s="27" t="n">
        <v>10.6</v>
      </c>
      <c r="G27" s="27" t="n">
        <v>0.17</v>
      </c>
      <c r="H27" s="27" t="n">
        <v>11.62</v>
      </c>
      <c r="I27" s="27" t="n">
        <v>17.01</v>
      </c>
      <c r="J27" s="27" t="n">
        <v>17.75</v>
      </c>
      <c r="K27" s="27" t="n">
        <v>20.68</v>
      </c>
      <c r="L27" s="27" t="n">
        <v>53.54</v>
      </c>
      <c r="M27" s="29" t="n">
        <f aca="false">IF(D27=0,0,E27/D27)</f>
        <v>0</v>
      </c>
    </row>
    <row r="28" customFormat="false" ht="23.85" hidden="false" customHeight="false" outlineLevel="0" collapsed="false">
      <c r="A28" s="5" t="s">
        <v>593</v>
      </c>
      <c r="B28" s="5" t="s">
        <v>688</v>
      </c>
      <c r="C28" s="5" t="s">
        <v>802</v>
      </c>
      <c r="D28" s="30" t="n">
        <v>5044</v>
      </c>
      <c r="E28" s="5" t="n">
        <v>0</v>
      </c>
      <c r="F28" s="27" t="n">
        <v>7.47</v>
      </c>
      <c r="G28" s="27" t="n">
        <v>2.42</v>
      </c>
      <c r="H28" s="27" t="n">
        <v>6.41</v>
      </c>
      <c r="I28" s="27" t="n">
        <v>11.66</v>
      </c>
      <c r="J28" s="27" t="n">
        <v>12.22</v>
      </c>
      <c r="K28" s="27" t="n">
        <v>13.55</v>
      </c>
      <c r="L28" s="27" t="n">
        <v>42.9</v>
      </c>
      <c r="M28" s="29" t="n">
        <f aca="false">IF(D28=0,0,E28/D28)</f>
        <v>0</v>
      </c>
    </row>
    <row r="29" customFormat="false" ht="23.85" hidden="false" customHeight="false" outlineLevel="0" collapsed="false">
      <c r="A29" s="5" t="s">
        <v>593</v>
      </c>
      <c r="B29" s="5" t="s">
        <v>688</v>
      </c>
      <c r="C29" s="5" t="s">
        <v>813</v>
      </c>
      <c r="D29" s="30" t="n">
        <v>2645</v>
      </c>
      <c r="E29" s="5" t="n">
        <v>0</v>
      </c>
      <c r="F29" s="27" t="n">
        <v>7.38</v>
      </c>
      <c r="G29" s="27" t="n">
        <v>0.12</v>
      </c>
      <c r="H29" s="27" t="n">
        <v>5.43</v>
      </c>
      <c r="I29" s="27" t="n">
        <v>15.64</v>
      </c>
      <c r="J29" s="27" t="n">
        <v>16.8</v>
      </c>
      <c r="K29" s="27" t="n">
        <v>18.34</v>
      </c>
      <c r="L29" s="27" t="n">
        <v>27.55</v>
      </c>
      <c r="M29" s="29" t="n">
        <f aca="false">IF(D29=0,0,E29/D29)</f>
        <v>0</v>
      </c>
    </row>
    <row r="30" customFormat="false" ht="23.85" hidden="false" customHeight="false" outlineLevel="0" collapsed="false">
      <c r="A30" s="5" t="s">
        <v>593</v>
      </c>
      <c r="B30" s="5" t="s">
        <v>688</v>
      </c>
      <c r="C30" s="5" t="s">
        <v>814</v>
      </c>
      <c r="D30" s="30" t="n">
        <v>2343</v>
      </c>
      <c r="E30" s="5" t="n">
        <v>0</v>
      </c>
      <c r="F30" s="27" t="n">
        <v>5.31</v>
      </c>
      <c r="G30" s="27" t="n">
        <v>0.15</v>
      </c>
      <c r="H30" s="27" t="n">
        <v>5.27</v>
      </c>
      <c r="I30" s="27" t="n">
        <v>6.26</v>
      </c>
      <c r="J30" s="27" t="n">
        <v>6.64</v>
      </c>
      <c r="K30" s="27" t="n">
        <v>7.7</v>
      </c>
      <c r="L30" s="27" t="n">
        <v>25.21</v>
      </c>
      <c r="M30" s="29" t="n">
        <f aca="false">IF(D30=0,0,E30/D30)</f>
        <v>0</v>
      </c>
    </row>
    <row r="31" customFormat="false" ht="23.85" hidden="false" customHeight="false" outlineLevel="0" collapsed="false">
      <c r="A31" s="5" t="s">
        <v>593</v>
      </c>
      <c r="B31" s="5" t="s">
        <v>688</v>
      </c>
      <c r="C31" s="5" t="s">
        <v>803</v>
      </c>
      <c r="D31" s="30" t="n">
        <v>1552</v>
      </c>
      <c r="E31" s="5" t="n">
        <v>0</v>
      </c>
      <c r="F31" s="27" t="n">
        <v>3.33</v>
      </c>
      <c r="G31" s="27" t="n">
        <v>2.06</v>
      </c>
      <c r="H31" s="27" t="n">
        <v>3.18</v>
      </c>
      <c r="I31" s="27" t="n">
        <v>4.18</v>
      </c>
      <c r="J31" s="27" t="n">
        <v>4.46</v>
      </c>
      <c r="K31" s="27" t="n">
        <v>5.43</v>
      </c>
      <c r="L31" s="27" t="n">
        <v>17.57</v>
      </c>
      <c r="M31" s="29" t="n">
        <f aca="false">IF(D31=0,0,E31/D31)</f>
        <v>0</v>
      </c>
    </row>
    <row r="32" customFormat="false" ht="23.85" hidden="false" customHeight="false" outlineLevel="0" collapsed="false">
      <c r="A32" s="5" t="s">
        <v>593</v>
      </c>
      <c r="B32" s="5" t="s">
        <v>688</v>
      </c>
      <c r="C32" s="5" t="s">
        <v>810</v>
      </c>
      <c r="D32" s="30" t="n">
        <v>1110</v>
      </c>
      <c r="E32" s="5" t="n">
        <v>0</v>
      </c>
      <c r="F32" s="27" t="n">
        <v>3.51</v>
      </c>
      <c r="G32" s="27" t="n">
        <v>2.54</v>
      </c>
      <c r="H32" s="27" t="n">
        <v>3.43</v>
      </c>
      <c r="I32" s="27" t="n">
        <v>3.99</v>
      </c>
      <c r="J32" s="27" t="n">
        <v>4.25</v>
      </c>
      <c r="K32" s="27" t="n">
        <v>5.18</v>
      </c>
      <c r="L32" s="27" t="n">
        <v>10.64</v>
      </c>
      <c r="M32" s="29" t="n">
        <f aca="false">IF(D32=0,0,E32/D32)</f>
        <v>0</v>
      </c>
    </row>
    <row r="33" customFormat="false" ht="23.85" hidden="false" customHeight="false" outlineLevel="0" collapsed="false">
      <c r="A33" s="5" t="s">
        <v>593</v>
      </c>
      <c r="B33" s="5" t="s">
        <v>688</v>
      </c>
      <c r="C33" s="5" t="s">
        <v>805</v>
      </c>
      <c r="D33" s="30" t="n">
        <v>924</v>
      </c>
      <c r="E33" s="5" t="n">
        <v>0</v>
      </c>
      <c r="F33" s="27" t="n">
        <v>6.28</v>
      </c>
      <c r="G33" s="27" t="n">
        <v>4.25</v>
      </c>
      <c r="H33" s="27" t="n">
        <v>6.12</v>
      </c>
      <c r="I33" s="27" t="n">
        <v>7.51</v>
      </c>
      <c r="J33" s="27" t="n">
        <v>8.11</v>
      </c>
      <c r="K33" s="27" t="n">
        <v>10.83</v>
      </c>
      <c r="L33" s="27" t="n">
        <v>16.47</v>
      </c>
      <c r="M33" s="29" t="n">
        <f aca="false">IF(D33=0,0,E33/D33)</f>
        <v>0</v>
      </c>
    </row>
    <row r="34" customFormat="false" ht="23.85" hidden="false" customHeight="false" outlineLevel="0" collapsed="false">
      <c r="A34" s="5" t="s">
        <v>593</v>
      </c>
      <c r="B34" s="5" t="s">
        <v>688</v>
      </c>
      <c r="C34" s="5" t="s">
        <v>806</v>
      </c>
      <c r="D34" s="30" t="n">
        <v>924</v>
      </c>
      <c r="E34" s="5" t="n">
        <v>0</v>
      </c>
      <c r="F34" s="27" t="n">
        <v>10.62</v>
      </c>
      <c r="G34" s="27" t="n">
        <v>5.51</v>
      </c>
      <c r="H34" s="27" t="n">
        <v>7.58</v>
      </c>
      <c r="I34" s="27" t="n">
        <v>20.41</v>
      </c>
      <c r="J34" s="27" t="n">
        <v>23.94</v>
      </c>
      <c r="K34" s="27" t="n">
        <v>27.54</v>
      </c>
      <c r="L34" s="27" t="n">
        <v>32.64</v>
      </c>
      <c r="M34" s="29" t="n">
        <f aca="false">IF(D34=0,0,E34/D34)</f>
        <v>0</v>
      </c>
    </row>
    <row r="35" customFormat="false" ht="23.85" hidden="false" customHeight="false" outlineLevel="0" collapsed="false">
      <c r="A35" s="5" t="s">
        <v>593</v>
      </c>
      <c r="B35" s="5" t="s">
        <v>688</v>
      </c>
      <c r="C35" s="5" t="s">
        <v>809</v>
      </c>
      <c r="D35" s="30" t="n">
        <v>877</v>
      </c>
      <c r="E35" s="5" t="n">
        <v>0</v>
      </c>
      <c r="F35" s="27" t="n">
        <v>9.55</v>
      </c>
      <c r="G35" s="27" t="n">
        <v>6.47</v>
      </c>
      <c r="H35" s="27" t="n">
        <v>9.35</v>
      </c>
      <c r="I35" s="27" t="n">
        <v>11.08</v>
      </c>
      <c r="J35" s="27" t="n">
        <v>11.74</v>
      </c>
      <c r="K35" s="27" t="n">
        <v>13.8</v>
      </c>
      <c r="L35" s="27" t="n">
        <v>20.88</v>
      </c>
      <c r="M35" s="29" t="n">
        <f aca="false">IF(D35=0,0,E35/D35)</f>
        <v>0</v>
      </c>
    </row>
    <row r="36" customFormat="false" ht="23.85" hidden="false" customHeight="false" outlineLevel="0" collapsed="false">
      <c r="A36" s="5" t="s">
        <v>593</v>
      </c>
      <c r="B36" s="5" t="s">
        <v>688</v>
      </c>
      <c r="C36" s="5" t="s">
        <v>800</v>
      </c>
      <c r="D36" s="30" t="n">
        <v>140</v>
      </c>
      <c r="E36" s="5" t="n">
        <v>0</v>
      </c>
      <c r="F36" s="27" t="n">
        <v>2.22</v>
      </c>
      <c r="G36" s="27" t="n">
        <v>0.94</v>
      </c>
      <c r="H36" s="27" t="n">
        <v>1.84</v>
      </c>
      <c r="I36" s="27" t="n">
        <v>3.09</v>
      </c>
      <c r="J36" s="27" t="n">
        <v>3.39</v>
      </c>
      <c r="K36" s="27" t="n">
        <v>12.13</v>
      </c>
      <c r="L36" s="27" t="n">
        <v>16.77</v>
      </c>
      <c r="M36" s="29" t="n">
        <f aca="false">IF(D36=0,0,E36/D36)</f>
        <v>0</v>
      </c>
    </row>
    <row r="37" customFormat="false" ht="23.85" hidden="false" customHeight="false" outlineLevel="0" collapsed="false">
      <c r="A37" s="5" t="s">
        <v>593</v>
      </c>
      <c r="B37" s="5" t="s">
        <v>688</v>
      </c>
      <c r="C37" s="5" t="s">
        <v>811</v>
      </c>
      <c r="D37" s="30" t="n">
        <v>116</v>
      </c>
      <c r="E37" s="5" t="n">
        <v>0</v>
      </c>
      <c r="F37" s="27" t="n">
        <v>32.03</v>
      </c>
      <c r="G37" s="27" t="n">
        <v>18.15</v>
      </c>
      <c r="H37" s="27" t="n">
        <v>33.41</v>
      </c>
      <c r="I37" s="27" t="n">
        <v>39.24</v>
      </c>
      <c r="J37" s="27" t="n">
        <v>42.46</v>
      </c>
      <c r="K37" s="27" t="n">
        <v>50.36</v>
      </c>
      <c r="L37" s="27" t="n">
        <v>55.11</v>
      </c>
      <c r="M37" s="29" t="n">
        <f aca="false">IF(D37=0,0,E37/D37)</f>
        <v>0</v>
      </c>
    </row>
    <row r="38" customFormat="false" ht="23.85" hidden="false" customHeight="false" outlineLevel="0" collapsed="false">
      <c r="A38" s="5" t="s">
        <v>593</v>
      </c>
      <c r="B38" s="5" t="s">
        <v>688</v>
      </c>
      <c r="C38" s="5" t="s">
        <v>812</v>
      </c>
      <c r="D38" s="30" t="n">
        <v>116</v>
      </c>
      <c r="E38" s="5" t="n">
        <v>0</v>
      </c>
      <c r="F38" s="27" t="n">
        <v>135.23</v>
      </c>
      <c r="G38" s="27" t="n">
        <v>69.74</v>
      </c>
      <c r="H38" s="27" t="n">
        <v>117.68</v>
      </c>
      <c r="I38" s="27" t="n">
        <v>200.43</v>
      </c>
      <c r="J38" s="27" t="n">
        <v>239.38</v>
      </c>
      <c r="K38" s="27" t="n">
        <v>311.8</v>
      </c>
      <c r="L38" s="27" t="n">
        <v>344.79</v>
      </c>
      <c r="M38" s="29" t="n">
        <f aca="false">IF(D38=0,0,E38/D38)</f>
        <v>0</v>
      </c>
    </row>
    <row r="39" customFormat="false" ht="23.85" hidden="false" customHeight="false" outlineLevel="0" collapsed="false">
      <c r="A39" s="5" t="s">
        <v>593</v>
      </c>
      <c r="B39" s="5" t="s">
        <v>688</v>
      </c>
      <c r="C39" s="5" t="s">
        <v>807</v>
      </c>
      <c r="D39" s="30" t="n">
        <v>74</v>
      </c>
      <c r="E39" s="5" t="n">
        <v>0</v>
      </c>
      <c r="F39" s="27" t="n">
        <v>18.36</v>
      </c>
      <c r="G39" s="27" t="n">
        <v>13.24</v>
      </c>
      <c r="H39" s="27" t="n">
        <v>18.03</v>
      </c>
      <c r="I39" s="27" t="n">
        <v>21.81</v>
      </c>
      <c r="J39" s="27" t="n">
        <v>23.39</v>
      </c>
      <c r="K39" s="27" t="n">
        <v>28</v>
      </c>
      <c r="L39" s="27" t="n">
        <v>30.02</v>
      </c>
      <c r="M39" s="29" t="n">
        <f aca="false">IF(D39=0,0,E39/D39)</f>
        <v>0</v>
      </c>
    </row>
    <row r="40" customFormat="false" ht="23.85" hidden="false" customHeight="false" outlineLevel="0" collapsed="false">
      <c r="A40" s="5" t="s">
        <v>593</v>
      </c>
      <c r="B40" s="5" t="s">
        <v>688</v>
      </c>
      <c r="C40" s="5" t="s">
        <v>815</v>
      </c>
      <c r="D40" s="30" t="n">
        <v>74</v>
      </c>
      <c r="E40" s="5" t="n">
        <v>0</v>
      </c>
      <c r="F40" s="27" t="n">
        <v>26.5</v>
      </c>
      <c r="G40" s="27" t="n">
        <v>15.66</v>
      </c>
      <c r="H40" s="27" t="n">
        <v>27.81</v>
      </c>
      <c r="I40" s="27" t="n">
        <v>34.19</v>
      </c>
      <c r="J40" s="27" t="n">
        <v>35.21</v>
      </c>
      <c r="K40" s="27" t="n">
        <v>46.02</v>
      </c>
      <c r="L40" s="27" t="n">
        <v>69.9</v>
      </c>
      <c r="M40" s="29" t="n">
        <f aca="false">IF(D40=0,0,E40/D40)</f>
        <v>0</v>
      </c>
    </row>
    <row r="41" customFormat="false" ht="23.85" hidden="false" customHeight="false" outlineLevel="0" collapsed="false">
      <c r="A41" s="5" t="s">
        <v>593</v>
      </c>
      <c r="B41" s="5" t="s">
        <v>688</v>
      </c>
      <c r="C41" s="5" t="s">
        <v>816</v>
      </c>
      <c r="D41" s="30" t="n">
        <v>74</v>
      </c>
      <c r="E41" s="5" t="n">
        <v>0</v>
      </c>
      <c r="F41" s="27" t="n">
        <v>26.79</v>
      </c>
      <c r="G41" s="27" t="n">
        <v>14.23</v>
      </c>
      <c r="H41" s="27" t="n">
        <v>27.81</v>
      </c>
      <c r="I41" s="27" t="n">
        <v>35.19</v>
      </c>
      <c r="J41" s="27" t="n">
        <v>36.7</v>
      </c>
      <c r="K41" s="27" t="n">
        <v>56.41</v>
      </c>
      <c r="L41" s="27" t="n">
        <v>96.51</v>
      </c>
      <c r="M41" s="29" t="n">
        <f aca="false">IF(D41=0,0,E41/D41)</f>
        <v>0</v>
      </c>
    </row>
    <row r="42" customFormat="false" ht="23.85" hidden="false" customHeight="false" outlineLevel="0" collapsed="false">
      <c r="A42" s="5" t="s">
        <v>593</v>
      </c>
      <c r="B42" s="5" t="s">
        <v>688</v>
      </c>
      <c r="C42" s="5" t="s">
        <v>817</v>
      </c>
      <c r="D42" s="30" t="n">
        <v>74</v>
      </c>
      <c r="E42" s="5" t="n">
        <v>0</v>
      </c>
      <c r="F42" s="27" t="n">
        <v>27.2</v>
      </c>
      <c r="G42" s="27" t="n">
        <v>15.56</v>
      </c>
      <c r="H42" s="27" t="n">
        <v>28.6</v>
      </c>
      <c r="I42" s="27" t="n">
        <v>33.64</v>
      </c>
      <c r="J42" s="27" t="n">
        <v>36.54</v>
      </c>
      <c r="K42" s="27" t="n">
        <v>45.72</v>
      </c>
      <c r="L42" s="27" t="n">
        <v>57.29</v>
      </c>
      <c r="M42" s="29" t="n">
        <f aca="false">IF(D42=0,0,E42/D42)</f>
        <v>0</v>
      </c>
    </row>
    <row r="43" customFormat="false" ht="23.85" hidden="false" customHeight="false" outlineLevel="0" collapsed="false">
      <c r="A43" s="5" t="s">
        <v>593</v>
      </c>
      <c r="B43" s="5" t="s">
        <v>688</v>
      </c>
      <c r="C43" s="5" t="s">
        <v>801</v>
      </c>
      <c r="D43" s="30" t="n">
        <v>70</v>
      </c>
      <c r="E43" s="5" t="n">
        <v>0</v>
      </c>
      <c r="F43" s="27" t="n">
        <v>2.1</v>
      </c>
      <c r="G43" s="27" t="n">
        <v>1.31</v>
      </c>
      <c r="H43" s="27" t="n">
        <v>2.03</v>
      </c>
      <c r="I43" s="27" t="n">
        <v>2.5</v>
      </c>
      <c r="J43" s="27" t="n">
        <v>2.76</v>
      </c>
      <c r="K43" s="27" t="n">
        <v>3.32</v>
      </c>
      <c r="L43" s="27" t="n">
        <v>3.4</v>
      </c>
      <c r="M43" s="29" t="n">
        <f aca="false">IF(D43=0,0,E43/D43)</f>
        <v>0</v>
      </c>
    </row>
    <row r="44" customFormat="false" ht="23.85" hidden="false" customHeight="false" outlineLevel="0" collapsed="false">
      <c r="A44" s="5" t="s">
        <v>593</v>
      </c>
      <c r="B44" s="5" t="s">
        <v>688</v>
      </c>
      <c r="C44" s="5" t="s">
        <v>804</v>
      </c>
      <c r="D44" s="30" t="n">
        <v>28</v>
      </c>
      <c r="E44" s="5" t="n">
        <v>0</v>
      </c>
      <c r="F44" s="27" t="n">
        <v>110.02</v>
      </c>
      <c r="G44" s="27" t="n">
        <v>102.91</v>
      </c>
      <c r="H44" s="27" t="n">
        <v>107.56</v>
      </c>
      <c r="I44" s="27" t="n">
        <v>116.51</v>
      </c>
      <c r="J44" s="27" t="n">
        <v>129.58</v>
      </c>
      <c r="K44" s="27" t="n">
        <v>135.61</v>
      </c>
      <c r="L44" s="27" t="n">
        <v>135.61</v>
      </c>
      <c r="M44" s="29" t="n">
        <f aca="false">IF(D44=0,0,E44/D44)</f>
        <v>0</v>
      </c>
    </row>
    <row r="45" customFormat="false" ht="15" hidden="false" customHeight="false" outlineLevel="0" collapsed="false">
      <c r="A45" s="5" t="s">
        <v>599</v>
      </c>
      <c r="B45" s="5" t="s">
        <v>696</v>
      </c>
      <c r="C45" s="5" t="s">
        <v>808</v>
      </c>
      <c r="D45" s="30" t="n">
        <v>55780</v>
      </c>
      <c r="E45" s="5" t="n">
        <v>0</v>
      </c>
      <c r="F45" s="27" t="n">
        <v>8.89</v>
      </c>
      <c r="G45" s="27" t="n">
        <v>0.09</v>
      </c>
      <c r="H45" s="27" t="n">
        <v>8.98</v>
      </c>
      <c r="I45" s="27" t="n">
        <v>15.22</v>
      </c>
      <c r="J45" s="27" t="n">
        <v>15.83</v>
      </c>
      <c r="K45" s="27" t="n">
        <v>17.07</v>
      </c>
      <c r="L45" s="27" t="n">
        <v>56.94</v>
      </c>
      <c r="M45" s="29" t="n">
        <f aca="false">IF(D45=0,0,E45/D45)</f>
        <v>0</v>
      </c>
    </row>
    <row r="46" customFormat="false" ht="15" hidden="false" customHeight="false" outlineLevel="0" collapsed="false">
      <c r="A46" s="5" t="s">
        <v>599</v>
      </c>
      <c r="B46" s="5" t="s">
        <v>696</v>
      </c>
      <c r="C46" s="5" t="s">
        <v>802</v>
      </c>
      <c r="D46" s="30" t="n">
        <v>50540</v>
      </c>
      <c r="E46" s="5" t="n">
        <v>0</v>
      </c>
      <c r="F46" s="27" t="n">
        <v>6.06</v>
      </c>
      <c r="G46" s="27" t="n">
        <v>0.11</v>
      </c>
      <c r="H46" s="27" t="n">
        <v>4.96</v>
      </c>
      <c r="I46" s="27" t="n">
        <v>10.19</v>
      </c>
      <c r="J46" s="27" t="n">
        <v>10.61</v>
      </c>
      <c r="K46" s="27" t="n">
        <v>11.52</v>
      </c>
      <c r="L46" s="27" t="n">
        <v>37.83</v>
      </c>
      <c r="M46" s="29" t="n">
        <f aca="false">IF(D46=0,0,E46/D46)</f>
        <v>0</v>
      </c>
    </row>
    <row r="47" customFormat="false" ht="15" hidden="false" customHeight="false" outlineLevel="0" collapsed="false">
      <c r="A47" s="5" t="s">
        <v>599</v>
      </c>
      <c r="B47" s="5" t="s">
        <v>696</v>
      </c>
      <c r="C47" s="5" t="s">
        <v>813</v>
      </c>
      <c r="D47" s="30" t="n">
        <v>23446</v>
      </c>
      <c r="E47" s="5" t="n">
        <v>0</v>
      </c>
      <c r="F47" s="27" t="n">
        <v>6.93</v>
      </c>
      <c r="G47" s="27" t="n">
        <v>0.09</v>
      </c>
      <c r="H47" s="27" t="n">
        <v>4.41</v>
      </c>
      <c r="I47" s="27" t="n">
        <v>14.85</v>
      </c>
      <c r="J47" s="27" t="n">
        <v>15.65</v>
      </c>
      <c r="K47" s="27" t="n">
        <v>16.83</v>
      </c>
      <c r="L47" s="27" t="n">
        <v>51.33</v>
      </c>
      <c r="M47" s="29" t="n">
        <f aca="false">IF(D47=0,0,E47/D47)</f>
        <v>0</v>
      </c>
    </row>
    <row r="48" customFormat="false" ht="15" hidden="false" customHeight="false" outlineLevel="0" collapsed="false">
      <c r="A48" s="5" t="s">
        <v>599</v>
      </c>
      <c r="B48" s="5" t="s">
        <v>696</v>
      </c>
      <c r="C48" s="5" t="s">
        <v>814</v>
      </c>
      <c r="D48" s="30" t="n">
        <v>21150</v>
      </c>
      <c r="E48" s="5" t="n">
        <v>0</v>
      </c>
      <c r="F48" s="27" t="n">
        <v>4.55</v>
      </c>
      <c r="G48" s="27" t="n">
        <v>0.18</v>
      </c>
      <c r="H48" s="27" t="n">
        <v>4.53</v>
      </c>
      <c r="I48" s="27" t="n">
        <v>5.61</v>
      </c>
      <c r="J48" s="27" t="n">
        <v>5.92</v>
      </c>
      <c r="K48" s="27" t="n">
        <v>6.81</v>
      </c>
      <c r="L48" s="27" t="n">
        <v>18.67</v>
      </c>
      <c r="M48" s="29" t="n">
        <f aca="false">IF(D48=0,0,E48/D48)</f>
        <v>0</v>
      </c>
    </row>
    <row r="49" customFormat="false" ht="15" hidden="false" customHeight="false" outlineLevel="0" collapsed="false">
      <c r="A49" s="5" t="s">
        <v>599</v>
      </c>
      <c r="B49" s="5" t="s">
        <v>696</v>
      </c>
      <c r="C49" s="5" t="s">
        <v>810</v>
      </c>
      <c r="D49" s="30" t="n">
        <v>10974</v>
      </c>
      <c r="E49" s="5" t="n">
        <v>0</v>
      </c>
      <c r="F49" s="27" t="n">
        <v>2.86</v>
      </c>
      <c r="G49" s="27" t="n">
        <v>1.76</v>
      </c>
      <c r="H49" s="27" t="n">
        <v>2.9</v>
      </c>
      <c r="I49" s="27" t="n">
        <v>3.34</v>
      </c>
      <c r="J49" s="27" t="n">
        <v>3.48</v>
      </c>
      <c r="K49" s="27" t="n">
        <v>3.93</v>
      </c>
      <c r="L49" s="27" t="n">
        <v>12.35</v>
      </c>
      <c r="M49" s="29" t="n">
        <f aca="false">IF(D49=0,0,E49/D49)</f>
        <v>0</v>
      </c>
    </row>
    <row r="50" customFormat="false" ht="15" hidden="false" customHeight="false" outlineLevel="0" collapsed="false">
      <c r="A50" s="5" t="s">
        <v>599</v>
      </c>
      <c r="B50" s="5" t="s">
        <v>696</v>
      </c>
      <c r="C50" s="5" t="s">
        <v>801</v>
      </c>
      <c r="D50" s="30" t="n">
        <v>7336</v>
      </c>
      <c r="E50" s="5" t="n">
        <v>0</v>
      </c>
      <c r="F50" s="27" t="n">
        <v>1.47</v>
      </c>
      <c r="G50" s="27" t="n">
        <v>0.67</v>
      </c>
      <c r="H50" s="27" t="n">
        <v>1.45</v>
      </c>
      <c r="I50" s="27" t="n">
        <v>1.76</v>
      </c>
      <c r="J50" s="27" t="n">
        <v>1.88</v>
      </c>
      <c r="K50" s="27" t="n">
        <v>2.23</v>
      </c>
      <c r="L50" s="27" t="n">
        <v>18.55</v>
      </c>
      <c r="M50" s="29" t="n">
        <f aca="false">IF(D50=0,0,E50/D50)</f>
        <v>0</v>
      </c>
    </row>
    <row r="51" customFormat="false" ht="15" hidden="false" customHeight="false" outlineLevel="0" collapsed="false">
      <c r="A51" s="5" t="s">
        <v>599</v>
      </c>
      <c r="B51" s="5" t="s">
        <v>696</v>
      </c>
      <c r="C51" s="5" t="s">
        <v>803</v>
      </c>
      <c r="D51" s="30" t="n">
        <v>7272</v>
      </c>
      <c r="E51" s="5" t="n">
        <v>0</v>
      </c>
      <c r="F51" s="27" t="n">
        <v>2.43</v>
      </c>
      <c r="G51" s="27" t="n">
        <v>0.14</v>
      </c>
      <c r="H51" s="27" t="n">
        <v>2.42</v>
      </c>
      <c r="I51" s="27" t="n">
        <v>2.91</v>
      </c>
      <c r="J51" s="27" t="n">
        <v>3.1</v>
      </c>
      <c r="K51" s="27" t="n">
        <v>3.96</v>
      </c>
      <c r="L51" s="27" t="n">
        <v>11.74</v>
      </c>
      <c r="M51" s="29" t="n">
        <f aca="false">IF(D51=0,0,E51/D51)</f>
        <v>0</v>
      </c>
    </row>
    <row r="52" customFormat="false" ht="15" hidden="false" customHeight="false" outlineLevel="0" collapsed="false">
      <c r="A52" s="5" t="s">
        <v>605</v>
      </c>
      <c r="B52" s="5" t="s">
        <v>704</v>
      </c>
      <c r="C52" s="5" t="s">
        <v>808</v>
      </c>
      <c r="D52" s="30" t="n">
        <v>176327</v>
      </c>
      <c r="E52" s="5" t="n">
        <v>0</v>
      </c>
      <c r="F52" s="27" t="n">
        <v>1796.71</v>
      </c>
      <c r="G52" s="27" t="n">
        <v>0.05</v>
      </c>
      <c r="H52" s="27" t="n">
        <v>2265.29</v>
      </c>
      <c r="I52" s="27" t="n">
        <v>2857.47</v>
      </c>
      <c r="J52" s="27" t="n">
        <v>2961.98</v>
      </c>
      <c r="K52" s="27" t="n">
        <v>3180.31</v>
      </c>
      <c r="L52" s="27" t="n">
        <v>4493.7</v>
      </c>
      <c r="M52" s="29" t="n">
        <f aca="false">IF(D52=0,0,E52/D52)</f>
        <v>0</v>
      </c>
    </row>
    <row r="53" customFormat="false" ht="15" hidden="false" customHeight="false" outlineLevel="0" collapsed="false">
      <c r="A53" s="5" t="s">
        <v>605</v>
      </c>
      <c r="B53" s="5" t="s">
        <v>704</v>
      </c>
      <c r="C53" s="5" t="s">
        <v>802</v>
      </c>
      <c r="D53" s="30" t="n">
        <v>160145</v>
      </c>
      <c r="E53" s="5" t="n">
        <v>0</v>
      </c>
      <c r="F53" s="27" t="n">
        <v>1782.94</v>
      </c>
      <c r="G53" s="27" t="n">
        <v>0.05</v>
      </c>
      <c r="H53" s="27" t="n">
        <v>2254.68</v>
      </c>
      <c r="I53" s="27" t="n">
        <v>2844.73</v>
      </c>
      <c r="J53" s="27" t="n">
        <v>2948.33</v>
      </c>
      <c r="K53" s="27" t="n">
        <v>3170.12</v>
      </c>
      <c r="L53" s="27" t="n">
        <v>4094.88</v>
      </c>
      <c r="M53" s="29" t="n">
        <f aca="false">IF(D53=0,0,E53/D53)</f>
        <v>0</v>
      </c>
    </row>
    <row r="54" customFormat="false" ht="15" hidden="false" customHeight="false" outlineLevel="0" collapsed="false">
      <c r="A54" s="5" t="s">
        <v>605</v>
      </c>
      <c r="B54" s="5" t="s">
        <v>704</v>
      </c>
      <c r="C54" s="5" t="s">
        <v>813</v>
      </c>
      <c r="D54" s="30" t="n">
        <v>75866</v>
      </c>
      <c r="E54" s="5" t="n">
        <v>0</v>
      </c>
      <c r="F54" s="27" t="n">
        <v>1796.47</v>
      </c>
      <c r="G54" s="27" t="n">
        <v>0.08</v>
      </c>
      <c r="H54" s="27" t="n">
        <v>2267.38</v>
      </c>
      <c r="I54" s="27" t="n">
        <v>2858.63</v>
      </c>
      <c r="J54" s="27" t="n">
        <v>2964.63</v>
      </c>
      <c r="K54" s="27" t="n">
        <v>3182.08</v>
      </c>
      <c r="L54" s="27" t="n">
        <v>3879.85</v>
      </c>
      <c r="M54" s="29" t="n">
        <f aca="false">IF(D54=0,0,E54/D54)</f>
        <v>0</v>
      </c>
    </row>
    <row r="55" customFormat="false" ht="15" hidden="false" customHeight="false" outlineLevel="0" collapsed="false">
      <c r="A55" s="5" t="s">
        <v>605</v>
      </c>
      <c r="B55" s="5" t="s">
        <v>704</v>
      </c>
      <c r="C55" s="5" t="s">
        <v>814</v>
      </c>
      <c r="D55" s="30" t="n">
        <v>68165</v>
      </c>
      <c r="E55" s="5" t="n">
        <v>0</v>
      </c>
      <c r="F55" s="27" t="n">
        <v>1793.75</v>
      </c>
      <c r="G55" s="27" t="n">
        <v>0.07</v>
      </c>
      <c r="H55" s="27" t="n">
        <v>2266.29</v>
      </c>
      <c r="I55" s="27" t="n">
        <v>2852.51</v>
      </c>
      <c r="J55" s="27" t="n">
        <v>2958.34</v>
      </c>
      <c r="K55" s="27" t="n">
        <v>3170.74</v>
      </c>
      <c r="L55" s="27" t="n">
        <v>3934</v>
      </c>
      <c r="M55" s="29" t="n">
        <f aca="false">IF(D55=0,0,E55/D55)</f>
        <v>0</v>
      </c>
    </row>
    <row r="56" customFormat="false" ht="15" hidden="false" customHeight="false" outlineLevel="0" collapsed="false">
      <c r="A56" s="5" t="s">
        <v>605</v>
      </c>
      <c r="B56" s="5" t="s">
        <v>704</v>
      </c>
      <c r="C56" s="5" t="s">
        <v>810</v>
      </c>
      <c r="D56" s="30" t="n">
        <v>34588</v>
      </c>
      <c r="E56" s="5" t="n">
        <v>0</v>
      </c>
      <c r="F56" s="27" t="n">
        <v>1775.71</v>
      </c>
      <c r="G56" s="27" t="n">
        <v>0.07</v>
      </c>
      <c r="H56" s="27" t="n">
        <v>2248.18</v>
      </c>
      <c r="I56" s="27" t="n">
        <v>2842.22</v>
      </c>
      <c r="J56" s="27" t="n">
        <v>2943.78</v>
      </c>
      <c r="K56" s="27" t="n">
        <v>3163.99</v>
      </c>
      <c r="L56" s="27" t="n">
        <v>4184.73</v>
      </c>
      <c r="M56" s="29" t="n">
        <f aca="false">IF(D56=0,0,E56/D56)</f>
        <v>0</v>
      </c>
    </row>
    <row r="57" customFormat="false" ht="15" hidden="false" customHeight="false" outlineLevel="0" collapsed="false">
      <c r="A57" s="5" t="s">
        <v>605</v>
      </c>
      <c r="B57" s="5" t="s">
        <v>704</v>
      </c>
      <c r="C57" s="5" t="s">
        <v>803</v>
      </c>
      <c r="D57" s="30" t="n">
        <v>22884</v>
      </c>
      <c r="E57" s="5" t="n">
        <v>0</v>
      </c>
      <c r="F57" s="27" t="n">
        <v>1791.58</v>
      </c>
      <c r="G57" s="27" t="n">
        <v>0.07</v>
      </c>
      <c r="H57" s="27" t="n">
        <v>2247.53</v>
      </c>
      <c r="I57" s="27" t="n">
        <v>2842.8</v>
      </c>
      <c r="J57" s="27" t="n">
        <v>2948.41</v>
      </c>
      <c r="K57" s="27" t="n">
        <v>3175.29</v>
      </c>
      <c r="L57" s="27" t="n">
        <v>4099.61</v>
      </c>
      <c r="M57" s="29" t="n">
        <f aca="false">IF(D57=0,0,E57/D57)</f>
        <v>0</v>
      </c>
    </row>
    <row r="58" customFormat="false" ht="15" hidden="false" customHeight="false" outlineLevel="0" collapsed="false">
      <c r="A58" s="5" t="s">
        <v>605</v>
      </c>
      <c r="B58" s="5" t="s">
        <v>704</v>
      </c>
      <c r="C58" s="5" t="s">
        <v>801</v>
      </c>
      <c r="D58" s="30" t="n">
        <v>22725</v>
      </c>
      <c r="E58" s="5" t="n">
        <v>0</v>
      </c>
      <c r="F58" s="27" t="n">
        <v>2.1</v>
      </c>
      <c r="G58" s="27" t="n">
        <v>0.15</v>
      </c>
      <c r="H58" s="27" t="n">
        <v>1.85</v>
      </c>
      <c r="I58" s="27" t="n">
        <v>3.02</v>
      </c>
      <c r="J58" s="27" t="n">
        <v>3.65</v>
      </c>
      <c r="K58" s="27" t="n">
        <v>7.31</v>
      </c>
      <c r="L58" s="27" t="n">
        <v>64.25</v>
      </c>
      <c r="M58" s="29" t="n">
        <f aca="false">IF(D58=0,0,E58/D58)</f>
        <v>0</v>
      </c>
    </row>
    <row r="59" customFormat="false" ht="15" hidden="false" customHeight="false" outlineLevel="0" collapsed="false">
      <c r="A59" s="5" t="s">
        <v>611</v>
      </c>
      <c r="B59" s="5" t="s">
        <v>712</v>
      </c>
      <c r="C59" s="5" t="s">
        <v>808</v>
      </c>
      <c r="D59" s="30" t="n">
        <v>20350</v>
      </c>
      <c r="E59" s="5" t="n">
        <v>0</v>
      </c>
      <c r="F59" s="27" t="n">
        <v>9.13</v>
      </c>
      <c r="G59" s="27" t="n">
        <v>0.14</v>
      </c>
      <c r="H59" s="27" t="n">
        <v>9.02</v>
      </c>
      <c r="I59" s="27" t="n">
        <v>15.38</v>
      </c>
      <c r="J59" s="27" t="n">
        <v>16.33</v>
      </c>
      <c r="K59" s="27" t="n">
        <v>20.68</v>
      </c>
      <c r="L59" s="27" t="n">
        <v>53.74</v>
      </c>
      <c r="M59" s="29" t="n">
        <f aca="false">IF(D59=0,0,E59/D59)</f>
        <v>0</v>
      </c>
    </row>
    <row r="60" customFormat="false" ht="15" hidden="false" customHeight="false" outlineLevel="0" collapsed="false">
      <c r="A60" s="5" t="s">
        <v>611</v>
      </c>
      <c r="B60" s="5" t="s">
        <v>712</v>
      </c>
      <c r="C60" s="5" t="s">
        <v>802</v>
      </c>
      <c r="D60" s="30" t="n">
        <v>14450</v>
      </c>
      <c r="E60" s="5" t="n">
        <v>0</v>
      </c>
      <c r="F60" s="27" t="n">
        <v>6.16</v>
      </c>
      <c r="G60" s="27" t="n">
        <v>0.1</v>
      </c>
      <c r="H60" s="27" t="n">
        <v>5.07</v>
      </c>
      <c r="I60" s="27" t="n">
        <v>10.13</v>
      </c>
      <c r="J60" s="27" t="n">
        <v>10.74</v>
      </c>
      <c r="K60" s="27" t="n">
        <v>14.16</v>
      </c>
      <c r="L60" s="27" t="n">
        <v>33.09</v>
      </c>
      <c r="M60" s="29" t="n">
        <f aca="false">IF(D60=0,0,E60/D60)</f>
        <v>0</v>
      </c>
    </row>
    <row r="61" customFormat="false" ht="15" hidden="false" customHeight="false" outlineLevel="0" collapsed="false">
      <c r="A61" s="5" t="s">
        <v>611</v>
      </c>
      <c r="B61" s="5" t="s">
        <v>712</v>
      </c>
      <c r="C61" s="5" t="s">
        <v>813</v>
      </c>
      <c r="D61" s="30" t="n">
        <v>8742</v>
      </c>
      <c r="E61" s="5" t="n">
        <v>0</v>
      </c>
      <c r="F61" s="27" t="n">
        <v>7.22</v>
      </c>
      <c r="G61" s="27" t="n">
        <v>2.05</v>
      </c>
      <c r="H61" s="27" t="n">
        <v>4.54</v>
      </c>
      <c r="I61" s="27" t="n">
        <v>14.99</v>
      </c>
      <c r="J61" s="27" t="n">
        <v>15.95</v>
      </c>
      <c r="K61" s="27" t="n">
        <v>18.19</v>
      </c>
      <c r="L61" s="27" t="n">
        <v>47.18</v>
      </c>
      <c r="M61" s="29" t="n">
        <f aca="false">IF(D61=0,0,E61/D61)</f>
        <v>0</v>
      </c>
    </row>
    <row r="62" customFormat="false" ht="15" hidden="false" customHeight="false" outlineLevel="0" collapsed="false">
      <c r="A62" s="5" t="s">
        <v>611</v>
      </c>
      <c r="B62" s="5" t="s">
        <v>712</v>
      </c>
      <c r="C62" s="5" t="s">
        <v>814</v>
      </c>
      <c r="D62" s="30" t="n">
        <v>7733</v>
      </c>
      <c r="E62" s="5" t="n">
        <v>0</v>
      </c>
      <c r="F62" s="27" t="n">
        <v>4.73</v>
      </c>
      <c r="G62" s="27" t="n">
        <v>0.26</v>
      </c>
      <c r="H62" s="27" t="n">
        <v>4.61</v>
      </c>
      <c r="I62" s="27" t="n">
        <v>5.83</v>
      </c>
      <c r="J62" s="27" t="n">
        <v>6.29</v>
      </c>
      <c r="K62" s="27" t="n">
        <v>9.86</v>
      </c>
      <c r="L62" s="27" t="n">
        <v>26.59</v>
      </c>
      <c r="M62" s="29" t="n">
        <f aca="false">IF(D62=0,0,E62/D62)</f>
        <v>0</v>
      </c>
    </row>
    <row r="63" customFormat="false" ht="15" hidden="false" customHeight="false" outlineLevel="0" collapsed="false">
      <c r="A63" s="5" t="s">
        <v>611</v>
      </c>
      <c r="B63" s="5" t="s">
        <v>712</v>
      </c>
      <c r="C63" s="5" t="s">
        <v>810</v>
      </c>
      <c r="D63" s="30" t="n">
        <v>3073</v>
      </c>
      <c r="E63" s="5" t="n">
        <v>0</v>
      </c>
      <c r="F63" s="27" t="n">
        <v>3.06</v>
      </c>
      <c r="G63" s="27" t="n">
        <v>1.82</v>
      </c>
      <c r="H63" s="27" t="n">
        <v>2.89</v>
      </c>
      <c r="I63" s="27" t="n">
        <v>3.48</v>
      </c>
      <c r="J63" s="27" t="n">
        <v>3.8</v>
      </c>
      <c r="K63" s="27" t="n">
        <v>9.35</v>
      </c>
      <c r="L63" s="27" t="n">
        <v>29.72</v>
      </c>
      <c r="M63" s="29" t="n">
        <f aca="false">IF(D63=0,0,E63/D63)</f>
        <v>0</v>
      </c>
    </row>
    <row r="64" customFormat="false" ht="15" hidden="false" customHeight="false" outlineLevel="0" collapsed="false">
      <c r="A64" s="5" t="s">
        <v>611</v>
      </c>
      <c r="B64" s="5" t="s">
        <v>712</v>
      </c>
      <c r="C64" s="5" t="s">
        <v>800</v>
      </c>
      <c r="D64" s="30" t="n">
        <v>800</v>
      </c>
      <c r="E64" s="5" t="n">
        <v>0</v>
      </c>
      <c r="F64" s="27" t="n">
        <v>2.19</v>
      </c>
      <c r="G64" s="27" t="n">
        <v>0.98</v>
      </c>
      <c r="H64" s="27" t="n">
        <v>1.76</v>
      </c>
      <c r="I64" s="27" t="n">
        <v>2.75</v>
      </c>
      <c r="J64" s="27" t="n">
        <v>3.64</v>
      </c>
      <c r="K64" s="27" t="n">
        <v>12.08</v>
      </c>
      <c r="L64" s="27" t="n">
        <v>24.38</v>
      </c>
      <c r="M64" s="29" t="n">
        <f aca="false">IF(D64=0,0,E64/D64)</f>
        <v>0</v>
      </c>
    </row>
    <row r="65" customFormat="false" ht="15" hidden="false" customHeight="false" outlineLevel="0" collapsed="false">
      <c r="A65" s="5" t="s">
        <v>611</v>
      </c>
      <c r="B65" s="5" t="s">
        <v>712</v>
      </c>
      <c r="C65" s="5" t="s">
        <v>801</v>
      </c>
      <c r="D65" s="30" t="n">
        <v>400</v>
      </c>
      <c r="E65" s="5" t="n">
        <v>0</v>
      </c>
      <c r="F65" s="27" t="n">
        <v>1.86</v>
      </c>
      <c r="G65" s="27" t="n">
        <v>1.15</v>
      </c>
      <c r="H65" s="27" t="n">
        <v>1.67</v>
      </c>
      <c r="I65" s="27" t="n">
        <v>2.09</v>
      </c>
      <c r="J65" s="27" t="n">
        <v>2.33</v>
      </c>
      <c r="K65" s="27" t="n">
        <v>7.57</v>
      </c>
      <c r="L65" s="27" t="n">
        <v>10.05</v>
      </c>
      <c r="M65" s="29" t="n">
        <f aca="false">IF(D65=0,0,E65/D65)</f>
        <v>0</v>
      </c>
    </row>
    <row r="66" customFormat="false" ht="15" hidden="false" customHeight="false" outlineLevel="0" collapsed="false">
      <c r="A66" s="5" t="s">
        <v>436</v>
      </c>
      <c r="B66" s="5" t="s">
        <v>720</v>
      </c>
      <c r="C66" s="5" t="s">
        <v>804</v>
      </c>
      <c r="D66" s="30" t="n">
        <v>9618</v>
      </c>
      <c r="E66" s="5" t="n">
        <v>0</v>
      </c>
      <c r="F66" s="27" t="n">
        <v>258.91</v>
      </c>
      <c r="G66" s="27" t="n">
        <v>0.1</v>
      </c>
      <c r="H66" s="27" t="n">
        <v>84.65</v>
      </c>
      <c r="I66" s="27" t="n">
        <v>911.79</v>
      </c>
      <c r="J66" s="27" t="n">
        <v>987.93</v>
      </c>
      <c r="K66" s="27" t="n">
        <v>1049.75</v>
      </c>
      <c r="L66" s="27" t="n">
        <v>1979.85</v>
      </c>
      <c r="M66" s="29" t="n">
        <f aca="false">IF(D66=0,0,E66/D66)</f>
        <v>0</v>
      </c>
    </row>
    <row r="67" customFormat="false" ht="15" hidden="false" customHeight="false" outlineLevel="0" collapsed="false">
      <c r="A67" s="5" t="s">
        <v>622</v>
      </c>
      <c r="B67" s="5" t="s">
        <v>728</v>
      </c>
      <c r="C67" s="5" t="s">
        <v>809</v>
      </c>
      <c r="D67" s="30" t="n">
        <v>2999</v>
      </c>
      <c r="E67" s="5" t="n">
        <v>0</v>
      </c>
      <c r="F67" s="27" t="n">
        <v>14.05</v>
      </c>
      <c r="G67" s="27" t="n">
        <v>0.34</v>
      </c>
      <c r="H67" s="27" t="n">
        <v>10.23</v>
      </c>
      <c r="I67" s="27" t="n">
        <v>21.16</v>
      </c>
      <c r="J67" s="27" t="n">
        <v>29.46</v>
      </c>
      <c r="K67" s="27" t="n">
        <v>89.11</v>
      </c>
      <c r="L67" s="27" t="n">
        <v>174.3</v>
      </c>
      <c r="M67" s="29" t="n">
        <f aca="false">IF(D67=0,0,E67/D67)</f>
        <v>0</v>
      </c>
    </row>
    <row r="68" customFormat="false" ht="15" hidden="false" customHeight="false" outlineLevel="0" collapsed="false">
      <c r="A68" s="5" t="s">
        <v>622</v>
      </c>
      <c r="B68" s="5" t="s">
        <v>728</v>
      </c>
      <c r="C68" s="5" t="s">
        <v>811</v>
      </c>
      <c r="D68" s="30" t="n">
        <v>60</v>
      </c>
      <c r="E68" s="5" t="n">
        <v>0</v>
      </c>
      <c r="F68" s="27" t="n">
        <v>161.46</v>
      </c>
      <c r="G68" s="27" t="n">
        <v>68.35</v>
      </c>
      <c r="H68" s="27" t="n">
        <v>155.54</v>
      </c>
      <c r="I68" s="27" t="n">
        <v>257.93</v>
      </c>
      <c r="J68" s="27" t="n">
        <v>276.52</v>
      </c>
      <c r="K68" s="27" t="n">
        <v>301.51</v>
      </c>
      <c r="L68" s="27" t="n">
        <v>311.7</v>
      </c>
      <c r="M68" s="29" t="n">
        <f aca="false">IF(D68=0,0,E68/D68)</f>
        <v>0</v>
      </c>
    </row>
    <row r="69" customFormat="false" ht="15" hidden="false" customHeight="false" outlineLevel="0" collapsed="false">
      <c r="A69" s="5" t="s">
        <v>628</v>
      </c>
      <c r="B69" s="5" t="s">
        <v>736</v>
      </c>
      <c r="C69" s="5" t="s">
        <v>812</v>
      </c>
      <c r="D69" s="30" t="n">
        <v>2256</v>
      </c>
      <c r="E69" s="5" t="n">
        <v>0</v>
      </c>
      <c r="F69" s="27" t="n">
        <v>66.17</v>
      </c>
      <c r="G69" s="27" t="n">
        <v>-1258.95</v>
      </c>
      <c r="H69" s="27" t="n">
        <v>63.66</v>
      </c>
      <c r="I69" s="27" t="n">
        <v>87.42</v>
      </c>
      <c r="J69" s="27" t="n">
        <v>103.87</v>
      </c>
      <c r="K69" s="27" t="n">
        <v>234.58</v>
      </c>
      <c r="L69" s="27" t="n">
        <v>417.37</v>
      </c>
      <c r="M69" s="29" t="n">
        <f aca="false">IF(D69=0,0,E69/D69)</f>
        <v>0</v>
      </c>
    </row>
    <row r="70" customFormat="false" ht="15" hidden="false" customHeight="false" outlineLevel="0" collapsed="false">
      <c r="A70" s="5" t="s">
        <v>634</v>
      </c>
      <c r="B70" s="5" t="s">
        <v>744</v>
      </c>
      <c r="C70" s="5" t="s">
        <v>808</v>
      </c>
      <c r="D70" s="30" t="n">
        <v>6575</v>
      </c>
      <c r="E70" s="5" t="n">
        <v>0</v>
      </c>
      <c r="F70" s="27" t="n">
        <v>11.06</v>
      </c>
      <c r="G70" s="27" t="n">
        <v>0.26</v>
      </c>
      <c r="H70" s="27" t="n">
        <v>11.6</v>
      </c>
      <c r="I70" s="27" t="n">
        <v>17.43</v>
      </c>
      <c r="J70" s="27" t="n">
        <v>18.31</v>
      </c>
      <c r="K70" s="27" t="n">
        <v>21.67</v>
      </c>
      <c r="L70" s="27" t="n">
        <v>57.06</v>
      </c>
      <c r="M70" s="29" t="n">
        <f aca="false">IF(D70=0,0,E70/D70)</f>
        <v>0</v>
      </c>
    </row>
    <row r="71" customFormat="false" ht="15" hidden="false" customHeight="false" outlineLevel="0" collapsed="false">
      <c r="A71" s="5" t="s">
        <v>634</v>
      </c>
      <c r="B71" s="5" t="s">
        <v>744</v>
      </c>
      <c r="C71" s="5" t="s">
        <v>802</v>
      </c>
      <c r="D71" s="30" t="n">
        <v>5300</v>
      </c>
      <c r="E71" s="5" t="n">
        <v>0</v>
      </c>
      <c r="F71" s="27" t="n">
        <v>7.82</v>
      </c>
      <c r="G71" s="27" t="n">
        <v>0.22</v>
      </c>
      <c r="H71" s="27" t="n">
        <v>6.74</v>
      </c>
      <c r="I71" s="27" t="n">
        <v>12.03</v>
      </c>
      <c r="J71" s="27" t="n">
        <v>12.48</v>
      </c>
      <c r="K71" s="27" t="n">
        <v>13.86</v>
      </c>
      <c r="L71" s="27" t="n">
        <v>26.43</v>
      </c>
      <c r="M71" s="29" t="n">
        <f aca="false">IF(D71=0,0,E71/D71)</f>
        <v>0</v>
      </c>
    </row>
    <row r="72" customFormat="false" ht="15" hidden="false" customHeight="false" outlineLevel="0" collapsed="false">
      <c r="A72" s="5" t="s">
        <v>634</v>
      </c>
      <c r="B72" s="5" t="s">
        <v>744</v>
      </c>
      <c r="C72" s="5" t="s">
        <v>813</v>
      </c>
      <c r="D72" s="30" t="n">
        <v>2748</v>
      </c>
      <c r="E72" s="5" t="n">
        <v>0</v>
      </c>
      <c r="F72" s="27" t="n">
        <v>9.47</v>
      </c>
      <c r="G72" s="27" t="n">
        <v>2.85</v>
      </c>
      <c r="H72" s="27" t="n">
        <v>6.51</v>
      </c>
      <c r="I72" s="27" t="n">
        <v>17.53</v>
      </c>
      <c r="J72" s="27" t="n">
        <v>18.55</v>
      </c>
      <c r="K72" s="27" t="n">
        <v>22.01</v>
      </c>
      <c r="L72" s="27" t="n">
        <v>45.11</v>
      </c>
      <c r="M72" s="29" t="n">
        <f aca="false">IF(D72=0,0,E72/D72)</f>
        <v>0</v>
      </c>
    </row>
    <row r="73" customFormat="false" ht="15" hidden="false" customHeight="false" outlineLevel="0" collapsed="false">
      <c r="A73" s="5" t="s">
        <v>634</v>
      </c>
      <c r="B73" s="5" t="s">
        <v>744</v>
      </c>
      <c r="C73" s="5" t="s">
        <v>814</v>
      </c>
      <c r="D73" s="30" t="n">
        <v>2517</v>
      </c>
      <c r="E73" s="5" t="n">
        <v>0</v>
      </c>
      <c r="F73" s="27" t="n">
        <v>5.44</v>
      </c>
      <c r="G73" s="27" t="n">
        <v>2.59</v>
      </c>
      <c r="H73" s="27" t="n">
        <v>5.36</v>
      </c>
      <c r="I73" s="27" t="n">
        <v>6.56</v>
      </c>
      <c r="J73" s="27" t="n">
        <v>6.95</v>
      </c>
      <c r="K73" s="27" t="n">
        <v>8.73</v>
      </c>
      <c r="L73" s="27" t="n">
        <v>18.33</v>
      </c>
      <c r="M73" s="29" t="n">
        <f aca="false">IF(D73=0,0,E73/D73)</f>
        <v>0</v>
      </c>
    </row>
    <row r="74" customFormat="false" ht="15" hidden="false" customHeight="false" outlineLevel="0" collapsed="false">
      <c r="A74" s="5" t="s">
        <v>634</v>
      </c>
      <c r="B74" s="5" t="s">
        <v>744</v>
      </c>
      <c r="C74" s="5" t="s">
        <v>803</v>
      </c>
      <c r="D74" s="30" t="n">
        <v>1651</v>
      </c>
      <c r="E74" s="5" t="n">
        <v>0</v>
      </c>
      <c r="F74" s="27" t="n">
        <v>3.64</v>
      </c>
      <c r="G74" s="27" t="n">
        <v>1.87</v>
      </c>
      <c r="H74" s="27" t="n">
        <v>3.68</v>
      </c>
      <c r="I74" s="27" t="n">
        <v>4.38</v>
      </c>
      <c r="J74" s="27" t="n">
        <v>4.6</v>
      </c>
      <c r="K74" s="27" t="n">
        <v>5.37</v>
      </c>
      <c r="L74" s="27" t="n">
        <v>14.23</v>
      </c>
      <c r="M74" s="29" t="n">
        <f aca="false">IF(D74=0,0,E74/D74)</f>
        <v>0</v>
      </c>
    </row>
    <row r="75" customFormat="false" ht="15" hidden="false" customHeight="false" outlineLevel="0" collapsed="false">
      <c r="A75" s="5" t="s">
        <v>634</v>
      </c>
      <c r="B75" s="5" t="s">
        <v>744</v>
      </c>
      <c r="C75" s="5" t="s">
        <v>810</v>
      </c>
      <c r="D75" s="30" t="n">
        <v>1156</v>
      </c>
      <c r="E75" s="5" t="n">
        <v>0</v>
      </c>
      <c r="F75" s="27" t="n">
        <v>3.54</v>
      </c>
      <c r="G75" s="27" t="n">
        <v>2.19</v>
      </c>
      <c r="H75" s="27" t="n">
        <v>3.45</v>
      </c>
      <c r="I75" s="27" t="n">
        <v>4.01</v>
      </c>
      <c r="J75" s="27" t="n">
        <v>4.23</v>
      </c>
      <c r="K75" s="27" t="n">
        <v>5.91</v>
      </c>
      <c r="L75" s="27" t="n">
        <v>14.41</v>
      </c>
      <c r="M75" s="29" t="n">
        <f aca="false">IF(D75=0,0,E75/D75)</f>
        <v>0</v>
      </c>
    </row>
    <row r="76" customFormat="false" ht="15" hidden="false" customHeight="false" outlineLevel="0" collapsed="false">
      <c r="A76" s="5" t="s">
        <v>634</v>
      </c>
      <c r="B76" s="5" t="s">
        <v>744</v>
      </c>
      <c r="C76" s="5" t="s">
        <v>805</v>
      </c>
      <c r="D76" s="30" t="n">
        <v>967</v>
      </c>
      <c r="E76" s="5" t="n">
        <v>0</v>
      </c>
      <c r="F76" s="27" t="n">
        <v>6.51</v>
      </c>
      <c r="G76" s="27" t="n">
        <v>3.94</v>
      </c>
      <c r="H76" s="27" t="n">
        <v>6.4</v>
      </c>
      <c r="I76" s="27" t="n">
        <v>7.65</v>
      </c>
      <c r="J76" s="27" t="n">
        <v>8.47</v>
      </c>
      <c r="K76" s="27" t="n">
        <v>10.55</v>
      </c>
      <c r="L76" s="27" t="n">
        <v>26.34</v>
      </c>
      <c r="M76" s="29" t="n">
        <f aca="false">IF(D76=0,0,E76/D76)</f>
        <v>0</v>
      </c>
    </row>
    <row r="77" customFormat="false" ht="15" hidden="false" customHeight="false" outlineLevel="0" collapsed="false">
      <c r="A77" s="5" t="s">
        <v>634</v>
      </c>
      <c r="B77" s="5" t="s">
        <v>744</v>
      </c>
      <c r="C77" s="5" t="s">
        <v>806</v>
      </c>
      <c r="D77" s="30" t="n">
        <v>967</v>
      </c>
      <c r="E77" s="5" t="n">
        <v>0</v>
      </c>
      <c r="F77" s="27" t="n">
        <v>10.05</v>
      </c>
      <c r="G77" s="27" t="n">
        <v>4.7</v>
      </c>
      <c r="H77" s="27" t="n">
        <v>7.05</v>
      </c>
      <c r="I77" s="27" t="n">
        <v>19.31</v>
      </c>
      <c r="J77" s="27" t="n">
        <v>32.54</v>
      </c>
      <c r="K77" s="27" t="n">
        <v>46.6</v>
      </c>
      <c r="L77" s="27" t="n">
        <v>54.71</v>
      </c>
      <c r="M77" s="29" t="n">
        <f aca="false">IF(D77=0,0,E77/D77)</f>
        <v>0</v>
      </c>
    </row>
    <row r="78" customFormat="false" ht="15" hidden="false" customHeight="false" outlineLevel="0" collapsed="false">
      <c r="A78" s="5" t="s">
        <v>634</v>
      </c>
      <c r="B78" s="5" t="s">
        <v>744</v>
      </c>
      <c r="C78" s="5" t="s">
        <v>809</v>
      </c>
      <c r="D78" s="30" t="n">
        <v>564</v>
      </c>
      <c r="E78" s="5" t="n">
        <v>0</v>
      </c>
      <c r="F78" s="27" t="n">
        <v>9.71</v>
      </c>
      <c r="G78" s="27" t="n">
        <v>6.79</v>
      </c>
      <c r="H78" s="27" t="n">
        <v>9.48</v>
      </c>
      <c r="I78" s="27" t="n">
        <v>11.09</v>
      </c>
      <c r="J78" s="27" t="n">
        <v>11.86</v>
      </c>
      <c r="K78" s="27" t="n">
        <v>15.24</v>
      </c>
      <c r="L78" s="27" t="n">
        <v>28.56</v>
      </c>
      <c r="M78" s="29" t="n">
        <f aca="false">IF(D78=0,0,E78/D78)</f>
        <v>0</v>
      </c>
    </row>
    <row r="79" customFormat="false" ht="15" hidden="false" customHeight="false" outlineLevel="0" collapsed="false">
      <c r="A79" s="5" t="s">
        <v>634</v>
      </c>
      <c r="B79" s="5" t="s">
        <v>744</v>
      </c>
      <c r="C79" s="5" t="s">
        <v>811</v>
      </c>
      <c r="D79" s="30" t="n">
        <v>173</v>
      </c>
      <c r="E79" s="5" t="n">
        <v>0</v>
      </c>
      <c r="F79" s="27" t="n">
        <v>31.24</v>
      </c>
      <c r="G79" s="27" t="n">
        <v>16.84</v>
      </c>
      <c r="H79" s="27" t="n">
        <v>32.16</v>
      </c>
      <c r="I79" s="27" t="n">
        <v>38.66</v>
      </c>
      <c r="J79" s="27" t="n">
        <v>40.5</v>
      </c>
      <c r="K79" s="27" t="n">
        <v>54.75</v>
      </c>
      <c r="L79" s="27" t="n">
        <v>93.31</v>
      </c>
      <c r="M79" s="29" t="n">
        <f aca="false">IF(D79=0,0,E79/D79)</f>
        <v>0</v>
      </c>
    </row>
    <row r="80" customFormat="false" ht="15" hidden="false" customHeight="false" outlineLevel="0" collapsed="false">
      <c r="A80" s="5" t="s">
        <v>634</v>
      </c>
      <c r="B80" s="5" t="s">
        <v>744</v>
      </c>
      <c r="C80" s="5" t="s">
        <v>812</v>
      </c>
      <c r="D80" s="30" t="n">
        <v>173</v>
      </c>
      <c r="E80" s="5" t="n">
        <v>0</v>
      </c>
      <c r="F80" s="27" t="n">
        <v>134.69</v>
      </c>
      <c r="G80" s="27" t="n">
        <v>-1232.71</v>
      </c>
      <c r="H80" s="27" t="n">
        <v>124.32</v>
      </c>
      <c r="I80" s="27" t="n">
        <v>224.27</v>
      </c>
      <c r="J80" s="27" t="n">
        <v>245.63</v>
      </c>
      <c r="K80" s="27" t="n">
        <v>311.08</v>
      </c>
      <c r="L80" s="27" t="n">
        <v>398.91</v>
      </c>
      <c r="M80" s="29" t="n">
        <f aca="false">IF(D80=0,0,E80/D80)</f>
        <v>0</v>
      </c>
    </row>
    <row r="81" customFormat="false" ht="15" hidden="false" customHeight="false" outlineLevel="0" collapsed="false">
      <c r="A81" s="5" t="s">
        <v>634</v>
      </c>
      <c r="B81" s="5" t="s">
        <v>744</v>
      </c>
      <c r="C81" s="5" t="s">
        <v>807</v>
      </c>
      <c r="D81" s="30" t="n">
        <v>86</v>
      </c>
      <c r="E81" s="5" t="n">
        <v>0</v>
      </c>
      <c r="F81" s="27" t="n">
        <v>18.07</v>
      </c>
      <c r="G81" s="27" t="n">
        <v>12.5</v>
      </c>
      <c r="H81" s="27" t="n">
        <v>17.41</v>
      </c>
      <c r="I81" s="27" t="n">
        <v>20.2</v>
      </c>
      <c r="J81" s="27" t="n">
        <v>21.45</v>
      </c>
      <c r="K81" s="27" t="n">
        <v>34.33</v>
      </c>
      <c r="L81" s="27" t="n">
        <v>85.19</v>
      </c>
      <c r="M81" s="29" t="n">
        <f aca="false">IF(D81=0,0,E81/D81)</f>
        <v>0</v>
      </c>
    </row>
    <row r="82" customFormat="false" ht="15" hidden="false" customHeight="false" outlineLevel="0" collapsed="false">
      <c r="A82" s="5" t="s">
        <v>634</v>
      </c>
      <c r="B82" s="5" t="s">
        <v>744</v>
      </c>
      <c r="C82" s="5" t="s">
        <v>815</v>
      </c>
      <c r="D82" s="30" t="n">
        <v>86</v>
      </c>
      <c r="E82" s="5" t="n">
        <v>0</v>
      </c>
      <c r="F82" s="27" t="n">
        <v>25.07</v>
      </c>
      <c r="G82" s="27" t="n">
        <v>13.45</v>
      </c>
      <c r="H82" s="27" t="n">
        <v>25.86</v>
      </c>
      <c r="I82" s="27" t="n">
        <v>31.17</v>
      </c>
      <c r="J82" s="27" t="n">
        <v>32.74</v>
      </c>
      <c r="K82" s="27" t="n">
        <v>58.12</v>
      </c>
      <c r="L82" s="27" t="n">
        <v>90.09</v>
      </c>
      <c r="M82" s="29" t="n">
        <f aca="false">IF(D82=0,0,E82/D82)</f>
        <v>0</v>
      </c>
    </row>
    <row r="83" customFormat="false" ht="15" hidden="false" customHeight="false" outlineLevel="0" collapsed="false">
      <c r="A83" s="5" t="s">
        <v>634</v>
      </c>
      <c r="B83" s="5" t="s">
        <v>744</v>
      </c>
      <c r="C83" s="5" t="s">
        <v>816</v>
      </c>
      <c r="D83" s="30" t="n">
        <v>86</v>
      </c>
      <c r="E83" s="5" t="n">
        <v>0</v>
      </c>
      <c r="F83" s="27" t="n">
        <v>25.33</v>
      </c>
      <c r="G83" s="27" t="n">
        <v>14.9</v>
      </c>
      <c r="H83" s="27" t="n">
        <v>27.31</v>
      </c>
      <c r="I83" s="27" t="n">
        <v>30.74</v>
      </c>
      <c r="J83" s="27" t="n">
        <v>31.64</v>
      </c>
      <c r="K83" s="27" t="n">
        <v>42.74</v>
      </c>
      <c r="L83" s="27" t="n">
        <v>51.49</v>
      </c>
      <c r="M83" s="29" t="n">
        <f aca="false">IF(D83=0,0,E83/D83)</f>
        <v>0</v>
      </c>
    </row>
    <row r="84" customFormat="false" ht="15" hidden="false" customHeight="false" outlineLevel="0" collapsed="false">
      <c r="A84" s="5" t="s">
        <v>634</v>
      </c>
      <c r="B84" s="5" t="s">
        <v>744</v>
      </c>
      <c r="C84" s="5" t="s">
        <v>817</v>
      </c>
      <c r="D84" s="30" t="n">
        <v>86</v>
      </c>
      <c r="E84" s="5" t="n">
        <v>0</v>
      </c>
      <c r="F84" s="27" t="n">
        <v>25.91</v>
      </c>
      <c r="G84" s="27" t="n">
        <v>15.31</v>
      </c>
      <c r="H84" s="27" t="n">
        <v>28.11</v>
      </c>
      <c r="I84" s="27" t="n">
        <v>32.05</v>
      </c>
      <c r="J84" s="27" t="n">
        <v>32.76</v>
      </c>
      <c r="K84" s="27" t="n">
        <v>38.51</v>
      </c>
      <c r="L84" s="27" t="n">
        <v>62.7</v>
      </c>
      <c r="M84" s="29" t="n">
        <f aca="false">IF(D84=0,0,E84/D84)</f>
        <v>0</v>
      </c>
    </row>
    <row r="85" customFormat="false" ht="15" hidden="false" customHeight="false" outlineLevel="0" collapsed="false">
      <c r="A85" s="5" t="s">
        <v>634</v>
      </c>
      <c r="B85" s="5" t="s">
        <v>744</v>
      </c>
      <c r="C85" s="5" t="s">
        <v>800</v>
      </c>
      <c r="D85" s="30" t="n">
        <v>56</v>
      </c>
      <c r="E85" s="5" t="n">
        <v>0</v>
      </c>
      <c r="F85" s="27" t="n">
        <v>76.46</v>
      </c>
      <c r="G85" s="27" t="n">
        <v>16.91</v>
      </c>
      <c r="H85" s="27" t="n">
        <v>72</v>
      </c>
      <c r="I85" s="27" t="n">
        <v>125.8</v>
      </c>
      <c r="J85" s="27" t="n">
        <v>134.37</v>
      </c>
      <c r="K85" s="27" t="n">
        <v>145.47</v>
      </c>
      <c r="L85" s="27" t="n">
        <v>146.7</v>
      </c>
      <c r="M85" s="29" t="n">
        <f aca="false">IF(D85=0,0,E85/D85)</f>
        <v>0</v>
      </c>
    </row>
    <row r="86" customFormat="false" ht="15" hidden="false" customHeight="false" outlineLevel="0" collapsed="false">
      <c r="A86" s="5" t="s">
        <v>634</v>
      </c>
      <c r="B86" s="5" t="s">
        <v>744</v>
      </c>
      <c r="C86" s="5" t="s">
        <v>801</v>
      </c>
      <c r="D86" s="30" t="n">
        <v>28</v>
      </c>
      <c r="E86" s="5" t="n">
        <v>0</v>
      </c>
      <c r="F86" s="27" t="n">
        <v>109.85</v>
      </c>
      <c r="G86" s="27" t="n">
        <v>50.18</v>
      </c>
      <c r="H86" s="27" t="n">
        <v>104.65</v>
      </c>
      <c r="I86" s="27" t="n">
        <v>171.7</v>
      </c>
      <c r="J86" s="27" t="n">
        <v>173.58</v>
      </c>
      <c r="K86" s="27" t="n">
        <v>177.15</v>
      </c>
      <c r="L86" s="27" t="n">
        <v>178.32</v>
      </c>
      <c r="M86" s="29" t="n">
        <f aca="false">IF(D86=0,0,E86/D86)</f>
        <v>0</v>
      </c>
    </row>
    <row r="87" customFormat="false" ht="15" hidden="false" customHeight="false" outlineLevel="0" collapsed="false">
      <c r="A87" s="5" t="s">
        <v>634</v>
      </c>
      <c r="B87" s="5" t="s">
        <v>744</v>
      </c>
      <c r="C87" s="5" t="s">
        <v>804</v>
      </c>
      <c r="D87" s="30" t="n">
        <v>11</v>
      </c>
      <c r="E87" s="5" t="n">
        <v>0</v>
      </c>
      <c r="F87" s="27" t="n">
        <v>216.75</v>
      </c>
      <c r="G87" s="27" t="n">
        <v>159.22</v>
      </c>
      <c r="H87" s="27" t="n">
        <v>208.85</v>
      </c>
      <c r="I87" s="27" t="n">
        <v>264.85</v>
      </c>
      <c r="J87" s="27" t="n">
        <v>268.81</v>
      </c>
      <c r="K87" s="27" t="n">
        <v>271.98</v>
      </c>
      <c r="L87" s="27" t="n">
        <v>272.77</v>
      </c>
      <c r="M87" s="29" t="n">
        <f aca="false">IF(D87=0,0,E87/D87)</f>
        <v>0</v>
      </c>
    </row>
    <row r="88" customFormat="false" ht="15" hidden="false" customHeight="false" outlineLevel="0" collapsed="false">
      <c r="A88" s="5" t="s">
        <v>640</v>
      </c>
      <c r="B88" s="5" t="s">
        <v>752</v>
      </c>
      <c r="C88" s="5" t="s">
        <v>808</v>
      </c>
      <c r="D88" s="30" t="n">
        <v>2776</v>
      </c>
      <c r="E88" s="5" t="n">
        <v>0</v>
      </c>
      <c r="F88" s="27" t="n">
        <v>5.88</v>
      </c>
      <c r="G88" s="27" t="n">
        <v>0.21</v>
      </c>
      <c r="H88" s="27" t="n">
        <v>6.03</v>
      </c>
      <c r="I88" s="27" t="n">
        <v>9.21</v>
      </c>
      <c r="J88" s="27" t="n">
        <v>9.67</v>
      </c>
      <c r="K88" s="27" t="n">
        <v>10.51</v>
      </c>
      <c r="L88" s="27" t="n">
        <v>13.65</v>
      </c>
      <c r="M88" s="29" t="n">
        <f aca="false">IF(D88=0,0,E88/D88)</f>
        <v>0</v>
      </c>
    </row>
    <row r="89" customFormat="false" ht="15" hidden="false" customHeight="false" outlineLevel="0" collapsed="false">
      <c r="A89" s="5" t="s">
        <v>640</v>
      </c>
      <c r="B89" s="5" t="s">
        <v>752</v>
      </c>
      <c r="C89" s="5" t="s">
        <v>802</v>
      </c>
      <c r="D89" s="30" t="n">
        <v>2477</v>
      </c>
      <c r="E89" s="5" t="n">
        <v>0</v>
      </c>
      <c r="F89" s="27" t="n">
        <v>3.98</v>
      </c>
      <c r="G89" s="27" t="n">
        <v>0.12</v>
      </c>
      <c r="H89" s="27" t="n">
        <v>3.47</v>
      </c>
      <c r="I89" s="27" t="n">
        <v>6.03</v>
      </c>
      <c r="J89" s="27" t="n">
        <v>6.29</v>
      </c>
      <c r="K89" s="27" t="n">
        <v>6.84</v>
      </c>
      <c r="L89" s="27" t="n">
        <v>9.59</v>
      </c>
      <c r="M89" s="29" t="n">
        <f aca="false">IF(D89=0,0,E89/D89)</f>
        <v>0</v>
      </c>
    </row>
    <row r="90" customFormat="false" ht="15" hidden="false" customHeight="false" outlineLevel="0" collapsed="false">
      <c r="A90" s="5" t="s">
        <v>640</v>
      </c>
      <c r="B90" s="5" t="s">
        <v>752</v>
      </c>
      <c r="C90" s="5" t="s">
        <v>813</v>
      </c>
      <c r="D90" s="30" t="n">
        <v>1198</v>
      </c>
      <c r="E90" s="5" t="n">
        <v>0</v>
      </c>
      <c r="F90" s="27" t="n">
        <v>5.38</v>
      </c>
      <c r="G90" s="27" t="n">
        <v>0.14</v>
      </c>
      <c r="H90" s="27" t="n">
        <v>3.69</v>
      </c>
      <c r="I90" s="27" t="n">
        <v>9.46</v>
      </c>
      <c r="J90" s="27" t="n">
        <v>10.13</v>
      </c>
      <c r="K90" s="27" t="n">
        <v>11.48</v>
      </c>
      <c r="L90" s="27" t="n">
        <v>17.66</v>
      </c>
      <c r="M90" s="29" t="n">
        <f aca="false">IF(D90=0,0,E90/D90)</f>
        <v>0</v>
      </c>
    </row>
    <row r="91" customFormat="false" ht="15" hidden="false" customHeight="false" outlineLevel="0" collapsed="false">
      <c r="A91" s="5" t="s">
        <v>640</v>
      </c>
      <c r="B91" s="5" t="s">
        <v>752</v>
      </c>
      <c r="C91" s="5" t="s">
        <v>814</v>
      </c>
      <c r="D91" s="30" t="n">
        <v>1087</v>
      </c>
      <c r="E91" s="5" t="n">
        <v>0</v>
      </c>
      <c r="F91" s="27" t="n">
        <v>2.61</v>
      </c>
      <c r="G91" s="27" t="n">
        <v>1.55</v>
      </c>
      <c r="H91" s="27" t="n">
        <v>2.6</v>
      </c>
      <c r="I91" s="27" t="n">
        <v>3.22</v>
      </c>
      <c r="J91" s="27" t="n">
        <v>3.42</v>
      </c>
      <c r="K91" s="27" t="n">
        <v>3.93</v>
      </c>
      <c r="L91" s="27" t="n">
        <v>5.22</v>
      </c>
      <c r="M91" s="29" t="n">
        <f aca="false">IF(D91=0,0,E91/D91)</f>
        <v>0</v>
      </c>
    </row>
    <row r="92" customFormat="false" ht="15" hidden="false" customHeight="false" outlineLevel="0" collapsed="false">
      <c r="A92" s="5" t="s">
        <v>640</v>
      </c>
      <c r="B92" s="5" t="s">
        <v>752</v>
      </c>
      <c r="C92" s="5" t="s">
        <v>810</v>
      </c>
      <c r="D92" s="30" t="n">
        <v>558</v>
      </c>
      <c r="E92" s="5" t="n">
        <v>0</v>
      </c>
      <c r="F92" s="27" t="n">
        <v>1.71</v>
      </c>
      <c r="G92" s="27" t="n">
        <v>1.2</v>
      </c>
      <c r="H92" s="27" t="n">
        <v>1.66</v>
      </c>
      <c r="I92" s="27" t="n">
        <v>1.97</v>
      </c>
      <c r="J92" s="27" t="n">
        <v>2.08</v>
      </c>
      <c r="K92" s="27" t="n">
        <v>2.56</v>
      </c>
      <c r="L92" s="27" t="n">
        <v>4.68</v>
      </c>
      <c r="M92" s="29" t="n">
        <f aca="false">IF(D92=0,0,E92/D92)</f>
        <v>0</v>
      </c>
    </row>
    <row r="93" customFormat="false" ht="15" hidden="false" customHeight="false" outlineLevel="0" collapsed="false">
      <c r="A93" s="5" t="s">
        <v>640</v>
      </c>
      <c r="B93" s="5" t="s">
        <v>752</v>
      </c>
      <c r="C93" s="5" t="s">
        <v>801</v>
      </c>
      <c r="D93" s="30" t="n">
        <v>391</v>
      </c>
      <c r="E93" s="5" t="n">
        <v>0</v>
      </c>
      <c r="F93" s="27" t="n">
        <v>1</v>
      </c>
      <c r="G93" s="27" t="n">
        <v>0.71</v>
      </c>
      <c r="H93" s="27" t="n">
        <v>0.98</v>
      </c>
      <c r="I93" s="27" t="n">
        <v>1.21</v>
      </c>
      <c r="J93" s="27" t="n">
        <v>1.29</v>
      </c>
      <c r="K93" s="27" t="n">
        <v>1.46</v>
      </c>
      <c r="L93" s="27" t="n">
        <v>1.72</v>
      </c>
      <c r="M93" s="29" t="n">
        <f aca="false">IF(D93=0,0,E93/D93)</f>
        <v>0</v>
      </c>
    </row>
    <row r="94" customFormat="false" ht="15" hidden="false" customHeight="false" outlineLevel="0" collapsed="false">
      <c r="A94" s="5" t="s">
        <v>640</v>
      </c>
      <c r="B94" s="5" t="s">
        <v>752</v>
      </c>
      <c r="C94" s="5" t="s">
        <v>803</v>
      </c>
      <c r="D94" s="30" t="n">
        <v>358</v>
      </c>
      <c r="E94" s="5" t="n">
        <v>0</v>
      </c>
      <c r="F94" s="27" t="n">
        <v>1.9</v>
      </c>
      <c r="G94" s="27" t="n">
        <v>1.33</v>
      </c>
      <c r="H94" s="27" t="n">
        <v>1.88</v>
      </c>
      <c r="I94" s="27" t="n">
        <v>2.22</v>
      </c>
      <c r="J94" s="27" t="n">
        <v>2.32</v>
      </c>
      <c r="K94" s="27" t="n">
        <v>2.68</v>
      </c>
      <c r="L94" s="27" t="n">
        <v>2.8</v>
      </c>
      <c r="M94" s="29" t="n">
        <f aca="false">IF(D94=0,0,E94/D94)</f>
        <v>0</v>
      </c>
    </row>
    <row r="95" customFormat="false" ht="15" hidden="false" customHeight="false" outlineLevel="0" collapsed="false">
      <c r="A95" s="5" t="s">
        <v>482</v>
      </c>
      <c r="B95" s="5" t="s">
        <v>760</v>
      </c>
      <c r="C95" s="5" t="s">
        <v>808</v>
      </c>
      <c r="D95" s="30" t="n">
        <v>2773</v>
      </c>
      <c r="E95" s="5" t="n">
        <v>0</v>
      </c>
      <c r="F95" s="27" t="n">
        <v>21.53</v>
      </c>
      <c r="G95" s="27" t="n">
        <v>0.12</v>
      </c>
      <c r="H95" s="27" t="n">
        <v>20.49</v>
      </c>
      <c r="I95" s="27" t="n">
        <v>29.52</v>
      </c>
      <c r="J95" s="27" t="n">
        <v>31.18</v>
      </c>
      <c r="K95" s="27" t="n">
        <v>33.99</v>
      </c>
      <c r="L95" s="27" t="n">
        <v>37.67</v>
      </c>
      <c r="M95" s="29" t="n">
        <f aca="false">IF(D95=0,0,E95/D95)</f>
        <v>0</v>
      </c>
    </row>
    <row r="96" customFormat="false" ht="15" hidden="false" customHeight="false" outlineLevel="0" collapsed="false">
      <c r="A96" s="5" t="s">
        <v>482</v>
      </c>
      <c r="B96" s="5" t="s">
        <v>760</v>
      </c>
      <c r="C96" s="5" t="s">
        <v>802</v>
      </c>
      <c r="D96" s="30" t="n">
        <v>2499</v>
      </c>
      <c r="E96" s="5" t="n">
        <v>0</v>
      </c>
      <c r="F96" s="27" t="n">
        <v>5.05</v>
      </c>
      <c r="G96" s="27" t="n">
        <v>2.31</v>
      </c>
      <c r="H96" s="27" t="n">
        <v>4.56</v>
      </c>
      <c r="I96" s="27" t="n">
        <v>7.23</v>
      </c>
      <c r="J96" s="27" t="n">
        <v>7.63</v>
      </c>
      <c r="K96" s="27" t="n">
        <v>8.37</v>
      </c>
      <c r="L96" s="27" t="n">
        <v>13.68</v>
      </c>
      <c r="M96" s="29" t="n">
        <f aca="false">IF(D96=0,0,E96/D96)</f>
        <v>0</v>
      </c>
    </row>
    <row r="97" customFormat="false" ht="15" hidden="false" customHeight="false" outlineLevel="0" collapsed="false">
      <c r="A97" s="5" t="s">
        <v>482</v>
      </c>
      <c r="B97" s="5" t="s">
        <v>760</v>
      </c>
      <c r="C97" s="5" t="s">
        <v>813</v>
      </c>
      <c r="D97" s="30" t="n">
        <v>1218</v>
      </c>
      <c r="E97" s="5" t="n">
        <v>0</v>
      </c>
      <c r="F97" s="27" t="n">
        <v>5.35</v>
      </c>
      <c r="G97" s="27" t="n">
        <v>1.71</v>
      </c>
      <c r="H97" s="27" t="n">
        <v>3.8</v>
      </c>
      <c r="I97" s="27" t="n">
        <v>9.47</v>
      </c>
      <c r="J97" s="27" t="n">
        <v>10.03</v>
      </c>
      <c r="K97" s="27" t="n">
        <v>11.42</v>
      </c>
      <c r="L97" s="27" t="n">
        <v>15.61</v>
      </c>
      <c r="M97" s="29" t="n">
        <f aca="false">IF(D97=0,0,E97/D97)</f>
        <v>0</v>
      </c>
    </row>
    <row r="98" customFormat="false" ht="15" hidden="false" customHeight="false" outlineLevel="0" collapsed="false">
      <c r="A98" s="5" t="s">
        <v>482</v>
      </c>
      <c r="B98" s="5" t="s">
        <v>760</v>
      </c>
      <c r="C98" s="5" t="s">
        <v>814</v>
      </c>
      <c r="D98" s="30" t="n">
        <v>1075</v>
      </c>
      <c r="E98" s="5" t="n">
        <v>0</v>
      </c>
      <c r="F98" s="27" t="n">
        <v>2.39</v>
      </c>
      <c r="G98" s="27" t="n">
        <v>1.64</v>
      </c>
      <c r="H98" s="27" t="n">
        <v>2.32</v>
      </c>
      <c r="I98" s="27" t="n">
        <v>2.85</v>
      </c>
      <c r="J98" s="27" t="n">
        <v>3.1</v>
      </c>
      <c r="K98" s="27" t="n">
        <v>3.6</v>
      </c>
      <c r="L98" s="27" t="n">
        <v>4.61</v>
      </c>
      <c r="M98" s="29" t="n">
        <f aca="false">IF(D98=0,0,E98/D98)</f>
        <v>0</v>
      </c>
    </row>
    <row r="99" customFormat="false" ht="15" hidden="false" customHeight="false" outlineLevel="0" collapsed="false">
      <c r="A99" s="5" t="s">
        <v>482</v>
      </c>
      <c r="B99" s="5" t="s">
        <v>760</v>
      </c>
      <c r="C99" s="5" t="s">
        <v>810</v>
      </c>
      <c r="D99" s="30" t="n">
        <v>539</v>
      </c>
      <c r="E99" s="5" t="n">
        <v>0</v>
      </c>
      <c r="F99" s="27" t="n">
        <v>1.63</v>
      </c>
      <c r="G99" s="27" t="n">
        <v>1.17</v>
      </c>
      <c r="H99" s="27" t="n">
        <v>1.61</v>
      </c>
      <c r="I99" s="27" t="n">
        <v>1.94</v>
      </c>
      <c r="J99" s="27" t="n">
        <v>2.07</v>
      </c>
      <c r="K99" s="27" t="n">
        <v>2.46</v>
      </c>
      <c r="L99" s="27" t="n">
        <v>3.77</v>
      </c>
      <c r="M99" s="29" t="n">
        <f aca="false">IF(D99=0,0,E99/D99)</f>
        <v>0</v>
      </c>
    </row>
    <row r="100" customFormat="false" ht="15" hidden="false" customHeight="false" outlineLevel="0" collapsed="false">
      <c r="A100" s="5" t="s">
        <v>482</v>
      </c>
      <c r="B100" s="5" t="s">
        <v>760</v>
      </c>
      <c r="C100" s="5" t="s">
        <v>803</v>
      </c>
      <c r="D100" s="30" t="n">
        <v>367</v>
      </c>
      <c r="E100" s="5" t="n">
        <v>0</v>
      </c>
      <c r="F100" s="27" t="n">
        <v>1.72</v>
      </c>
      <c r="G100" s="27" t="n">
        <v>1.05</v>
      </c>
      <c r="H100" s="27" t="n">
        <v>1.69</v>
      </c>
      <c r="I100" s="27" t="n">
        <v>2.07</v>
      </c>
      <c r="J100" s="27" t="n">
        <v>2.23</v>
      </c>
      <c r="K100" s="27" t="n">
        <v>2.44</v>
      </c>
      <c r="L100" s="27" t="n">
        <v>2.72</v>
      </c>
      <c r="M100" s="29" t="n">
        <f aca="false">IF(D100=0,0,E100/D100)</f>
        <v>0</v>
      </c>
    </row>
    <row r="101" customFormat="false" ht="15" hidden="false" customHeight="false" outlineLevel="0" collapsed="false">
      <c r="A101" s="5" t="s">
        <v>482</v>
      </c>
      <c r="B101" s="5" t="s">
        <v>760</v>
      </c>
      <c r="C101" s="5" t="s">
        <v>801</v>
      </c>
      <c r="D101" s="30" t="n">
        <v>344</v>
      </c>
      <c r="E101" s="5" t="n">
        <v>0</v>
      </c>
      <c r="F101" s="27" t="n">
        <v>0.93</v>
      </c>
      <c r="G101" s="27" t="n">
        <v>0.63</v>
      </c>
      <c r="H101" s="27" t="n">
        <v>0.92</v>
      </c>
      <c r="I101" s="27" t="n">
        <v>1.13</v>
      </c>
      <c r="J101" s="27" t="n">
        <v>1.22</v>
      </c>
      <c r="K101" s="27" t="n">
        <v>1.39</v>
      </c>
      <c r="L101" s="27" t="n">
        <v>1.65</v>
      </c>
      <c r="M101" s="29" t="n">
        <f aca="false">IF(D101=0,0,E101/D101)</f>
        <v>0</v>
      </c>
    </row>
  </sheetData>
  <autoFilter ref="A3:M10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7" min="4" style="0" width="12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818</v>
      </c>
    </row>
    <row r="3" customFormat="false" ht="15" hidden="false" customHeight="false" outlineLevel="0" collapsed="false">
      <c r="A3" s="3" t="s">
        <v>819</v>
      </c>
    </row>
    <row r="4" customFormat="false" ht="30" hidden="false" customHeight="true" outlineLevel="0" collapsed="false">
      <c r="A4" s="4" t="s">
        <v>548</v>
      </c>
      <c r="B4" s="4" t="s">
        <v>820</v>
      </c>
      <c r="C4" s="4" t="s">
        <v>657</v>
      </c>
      <c r="D4" s="4" t="s">
        <v>29</v>
      </c>
      <c r="E4" s="4" t="s">
        <v>30</v>
      </c>
      <c r="F4" s="4" t="s">
        <v>28</v>
      </c>
      <c r="G4" s="4" t="s">
        <v>821</v>
      </c>
    </row>
    <row r="5" customFormat="false" ht="15" hidden="false" customHeight="false" outlineLevel="0" collapsed="false">
      <c r="A5" s="5" t="n">
        <v>50</v>
      </c>
      <c r="B5" s="27" t="n">
        <v>64.6</v>
      </c>
      <c r="C5" s="27" t="n">
        <v>5.5</v>
      </c>
      <c r="D5" s="27" t="n">
        <v>16.2</v>
      </c>
      <c r="E5" s="27" t="n">
        <v>17.4</v>
      </c>
      <c r="F5" s="29" t="n">
        <v>0</v>
      </c>
      <c r="G5" s="5" t="n">
        <v>18</v>
      </c>
    </row>
    <row r="6" customFormat="false" ht="15" hidden="false" customHeight="false" outlineLevel="0" collapsed="false">
      <c r="A6" s="5" t="n">
        <v>100</v>
      </c>
      <c r="B6" s="27" t="n">
        <v>131.2</v>
      </c>
      <c r="C6" s="27" t="n">
        <v>5.3</v>
      </c>
      <c r="D6" s="27" t="n">
        <v>15.8</v>
      </c>
      <c r="E6" s="27" t="n">
        <v>16.8</v>
      </c>
      <c r="F6" s="29" t="n">
        <v>0</v>
      </c>
      <c r="G6" s="5" t="n">
        <v>33</v>
      </c>
    </row>
    <row r="7" customFormat="false" ht="15" hidden="false" customHeight="false" outlineLevel="0" collapsed="false">
      <c r="A7" s="5" t="n">
        <v>200</v>
      </c>
      <c r="B7" s="27" t="n">
        <v>258</v>
      </c>
      <c r="C7" s="27" t="n">
        <v>4.9</v>
      </c>
      <c r="D7" s="27" t="n">
        <v>15.4</v>
      </c>
      <c r="E7" s="27" t="n">
        <v>16.6</v>
      </c>
      <c r="F7" s="29" t="n">
        <v>0</v>
      </c>
      <c r="G7" s="5" t="n">
        <v>64</v>
      </c>
    </row>
    <row r="8" customFormat="false" ht="15" hidden="false" customHeight="false" outlineLevel="0" collapsed="false">
      <c r="A8" s="5" t="n">
        <v>300</v>
      </c>
      <c r="B8" s="27" t="n">
        <v>402.9</v>
      </c>
      <c r="C8" s="27" t="n">
        <v>5</v>
      </c>
      <c r="D8" s="27" t="n">
        <v>15.5</v>
      </c>
      <c r="E8" s="27" t="n">
        <v>16.5</v>
      </c>
      <c r="F8" s="29" t="n">
        <v>0</v>
      </c>
      <c r="G8" s="5" t="n">
        <v>100</v>
      </c>
    </row>
    <row r="9" customFormat="false" ht="15" hidden="false" customHeight="false" outlineLevel="0" collapsed="false">
      <c r="A9" s="5" t="n">
        <v>450</v>
      </c>
      <c r="B9" s="27" t="n">
        <v>606.2</v>
      </c>
      <c r="C9" s="27" t="n">
        <v>4.6</v>
      </c>
      <c r="D9" s="27" t="n">
        <v>14.9</v>
      </c>
      <c r="E9" s="27" t="n">
        <v>16.1</v>
      </c>
      <c r="F9" s="29" t="n">
        <v>0</v>
      </c>
      <c r="G9" s="5" t="n">
        <v>141</v>
      </c>
    </row>
    <row r="10" customFormat="false" ht="15" hidden="false" customHeight="false" outlineLevel="0" collapsed="false">
      <c r="A10" s="5" t="n">
        <v>600</v>
      </c>
      <c r="B10" s="27" t="n">
        <v>755.2</v>
      </c>
      <c r="C10" s="27" t="n">
        <v>3.9</v>
      </c>
      <c r="D10" s="27" t="n">
        <v>12.4</v>
      </c>
      <c r="E10" s="27" t="n">
        <v>13.8</v>
      </c>
      <c r="F10" s="29" t="n">
        <v>0</v>
      </c>
      <c r="G10" s="5" t="n">
        <v>150</v>
      </c>
    </row>
    <row r="21" customFormat="false" ht="15" hidden="false" customHeight="false" outlineLevel="0" collapsed="false">
      <c r="A21" s="3" t="s">
        <v>822</v>
      </c>
    </row>
    <row r="22" customFormat="false" ht="30" hidden="false" customHeight="true" outlineLevel="0" collapsed="false">
      <c r="A22" s="4" t="s">
        <v>548</v>
      </c>
      <c r="B22" s="4" t="s">
        <v>820</v>
      </c>
      <c r="C22" s="4" t="s">
        <v>657</v>
      </c>
      <c r="D22" s="4" t="s">
        <v>29</v>
      </c>
      <c r="E22" s="4" t="s">
        <v>30</v>
      </c>
      <c r="F22" s="4" t="s">
        <v>28</v>
      </c>
      <c r="G22" s="4" t="s">
        <v>821</v>
      </c>
    </row>
    <row r="23" customFormat="false" ht="15" hidden="false" customHeight="false" outlineLevel="0" collapsed="false">
      <c r="A23" s="5" t="n">
        <v>1000</v>
      </c>
      <c r="B23" s="27" t="n">
        <v>1283.6</v>
      </c>
      <c r="C23" s="27" t="n">
        <v>3.8</v>
      </c>
      <c r="D23" s="27" t="n">
        <v>11.7</v>
      </c>
      <c r="E23" s="27" t="n">
        <v>13.7</v>
      </c>
      <c r="F23" s="29" t="n">
        <v>0</v>
      </c>
      <c r="G23" s="5" t="n">
        <v>225</v>
      </c>
    </row>
    <row r="24" customFormat="false" ht="15" hidden="false" customHeight="false" outlineLevel="0" collapsed="false">
      <c r="A24" s="5" t="n">
        <v>1500</v>
      </c>
      <c r="B24" s="27" t="n">
        <v>1168.5</v>
      </c>
      <c r="C24" s="27" t="n">
        <v>2732.2</v>
      </c>
      <c r="D24" s="27" t="n">
        <v>3101.4</v>
      </c>
      <c r="E24" s="27" t="n">
        <v>3301.6</v>
      </c>
      <c r="F24" s="29" t="n">
        <v>0</v>
      </c>
      <c r="G24" s="5" t="n">
        <v>350</v>
      </c>
    </row>
    <row r="25" customFormat="false" ht="15" hidden="false" customHeight="false" outlineLevel="0" collapsed="false">
      <c r="A25" s="5" t="n">
        <v>2000</v>
      </c>
      <c r="B25" s="27" t="n">
        <v>1213.4</v>
      </c>
      <c r="C25" s="27" t="n">
        <v>2692</v>
      </c>
      <c r="D25" s="27" t="n">
        <v>3047.3</v>
      </c>
      <c r="E25" s="27" t="n">
        <v>3241.4</v>
      </c>
      <c r="F25" s="29" t="n">
        <v>0</v>
      </c>
      <c r="G25" s="5" t="n">
        <v>353</v>
      </c>
    </row>
    <row r="26" customFormat="false" ht="15" hidden="false" customHeight="false" outlineLevel="0" collapsed="false">
      <c r="A26" s="5" t="n">
        <v>3000</v>
      </c>
      <c r="B26" s="27" t="n">
        <v>1403.8</v>
      </c>
      <c r="C26" s="27" t="n">
        <v>2275.8</v>
      </c>
      <c r="D26" s="27" t="n">
        <v>2648.9</v>
      </c>
      <c r="E26" s="27" t="n">
        <v>2859.2</v>
      </c>
      <c r="F26" s="29" t="n">
        <v>0</v>
      </c>
      <c r="G26" s="5" t="n">
        <v>355</v>
      </c>
    </row>
    <row r="27" customFormat="false" ht="15" hidden="false" customHeight="false" outlineLevel="0" collapsed="false">
      <c r="A27" s="5" t="n">
        <v>4000</v>
      </c>
      <c r="B27" s="27" t="n">
        <v>1468.1</v>
      </c>
      <c r="C27" s="27" t="n">
        <v>2138.2</v>
      </c>
      <c r="D27" s="27" t="n">
        <v>2496.4</v>
      </c>
      <c r="E27" s="27" t="n">
        <v>2662.8</v>
      </c>
      <c r="F27" s="29" t="n">
        <v>0</v>
      </c>
      <c r="G27" s="5" t="n">
        <v>372</v>
      </c>
    </row>
    <row r="39" customFormat="false" ht="15" hidden="false" customHeight="false" outlineLevel="0" collapsed="false">
      <c r="A39" s="3" t="s">
        <v>38</v>
      </c>
    </row>
    <row r="40" customFormat="false" ht="30" hidden="false" customHeight="true" outlineLevel="0" collapsed="false">
      <c r="A40" s="4" t="s">
        <v>823</v>
      </c>
      <c r="B40" s="4" t="s">
        <v>820</v>
      </c>
      <c r="C40" s="4" t="s">
        <v>657</v>
      </c>
      <c r="D40" s="4" t="s">
        <v>29</v>
      </c>
      <c r="E40" s="4" t="s">
        <v>30</v>
      </c>
      <c r="F40" s="4" t="s">
        <v>28</v>
      </c>
      <c r="G40" s="4" t="s">
        <v>821</v>
      </c>
    </row>
    <row r="41" customFormat="false" ht="15" hidden="false" customHeight="false" outlineLevel="0" collapsed="false">
      <c r="A41" s="5" t="n">
        <v>10</v>
      </c>
      <c r="B41" s="27" t="n">
        <v>10.6</v>
      </c>
      <c r="C41" s="27" t="n">
        <v>91.1</v>
      </c>
      <c r="D41" s="27" t="n">
        <v>96.8</v>
      </c>
      <c r="E41" s="27" t="n">
        <v>99.2</v>
      </c>
      <c r="F41" s="29" t="n">
        <v>0</v>
      </c>
      <c r="G41" s="5" t="n">
        <v>78</v>
      </c>
    </row>
    <row r="42" customFormat="false" ht="15" hidden="false" customHeight="false" outlineLevel="0" collapsed="false">
      <c r="A42" s="5" t="n">
        <v>25</v>
      </c>
      <c r="B42" s="27" t="n">
        <v>27</v>
      </c>
      <c r="C42" s="27" t="n">
        <v>80</v>
      </c>
      <c r="D42" s="27" t="n">
        <v>86.4</v>
      </c>
      <c r="E42" s="27" t="n">
        <v>88.6</v>
      </c>
      <c r="F42" s="29" t="n">
        <v>0</v>
      </c>
      <c r="G42" s="5" t="n">
        <v>179</v>
      </c>
    </row>
    <row r="43" customFormat="false" ht="15" hidden="false" customHeight="false" outlineLevel="0" collapsed="false">
      <c r="A43" s="5" t="n">
        <v>50</v>
      </c>
      <c r="B43" s="27" t="n">
        <v>55.2</v>
      </c>
      <c r="C43" s="27" t="n">
        <v>81.6</v>
      </c>
      <c r="D43" s="27" t="n">
        <v>86.6</v>
      </c>
      <c r="E43" s="27" t="n">
        <v>90</v>
      </c>
      <c r="F43" s="29" t="n">
        <v>0</v>
      </c>
      <c r="G43" s="5" t="n">
        <v>373</v>
      </c>
    </row>
    <row r="44" customFormat="false" ht="15" hidden="false" customHeight="false" outlineLevel="0" collapsed="false">
      <c r="A44" s="5" t="n">
        <v>100</v>
      </c>
      <c r="B44" s="27" t="n">
        <v>100.7</v>
      </c>
      <c r="C44" s="27" t="n">
        <v>912.3</v>
      </c>
      <c r="D44" s="27" t="n">
        <v>1049.6</v>
      </c>
      <c r="E44" s="27" t="n">
        <v>1076.7</v>
      </c>
      <c r="F44" s="29" t="n">
        <v>0</v>
      </c>
      <c r="G44" s="5" t="n">
        <v>776</v>
      </c>
    </row>
    <row r="57" customFormat="false" ht="15" hidden="false" customHeight="false" outlineLevel="0" collapsed="false">
      <c r="A57" s="3" t="s">
        <v>824</v>
      </c>
    </row>
    <row r="58" customFormat="false" ht="30" hidden="false" customHeight="true" outlineLevel="0" collapsed="false">
      <c r="A58" s="4" t="s">
        <v>825</v>
      </c>
      <c r="B58" s="4" t="s">
        <v>820</v>
      </c>
      <c r="C58" s="4" t="s">
        <v>657</v>
      </c>
      <c r="D58" s="4" t="s">
        <v>29</v>
      </c>
      <c r="E58" s="4" t="s">
        <v>30</v>
      </c>
      <c r="F58" s="4" t="s">
        <v>28</v>
      </c>
      <c r="G58" s="4" t="s">
        <v>821</v>
      </c>
    </row>
    <row r="59" customFormat="false" ht="15" hidden="false" customHeight="false" outlineLevel="0" collapsed="false">
      <c r="A59" s="5" t="s">
        <v>826</v>
      </c>
      <c r="B59" s="27" t="n">
        <v>36.7</v>
      </c>
      <c r="C59" s="27" t="n">
        <v>5.4</v>
      </c>
      <c r="D59" s="27" t="n">
        <v>16.8</v>
      </c>
      <c r="E59" s="27" t="n">
        <v>18.5</v>
      </c>
      <c r="F59" s="29" t="n">
        <v>0</v>
      </c>
      <c r="G59" s="5" t="n">
        <v>10</v>
      </c>
    </row>
    <row r="60" customFormat="false" ht="15" hidden="false" customHeight="false" outlineLevel="0" collapsed="false">
      <c r="A60" s="5" t="s">
        <v>827</v>
      </c>
      <c r="B60" s="27" t="n">
        <v>731</v>
      </c>
      <c r="C60" s="27" t="n">
        <v>5</v>
      </c>
      <c r="D60" s="27" t="n">
        <v>15.2</v>
      </c>
      <c r="E60" s="27" t="n">
        <v>17.9</v>
      </c>
      <c r="F60" s="29" t="n">
        <v>0</v>
      </c>
      <c r="G60" s="5" t="n">
        <v>189</v>
      </c>
    </row>
    <row r="61" customFormat="false" ht="15" hidden="false" customHeight="false" outlineLevel="0" collapsed="false">
      <c r="A61" s="5" t="s">
        <v>828</v>
      </c>
      <c r="B61" s="27" t="n">
        <v>19</v>
      </c>
      <c r="C61" s="27" t="n">
        <v>6.4</v>
      </c>
      <c r="D61" s="27" t="n">
        <v>17.4</v>
      </c>
      <c r="E61" s="27" t="n">
        <v>18.4</v>
      </c>
      <c r="F61" s="29" t="n">
        <v>0</v>
      </c>
      <c r="G61" s="5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7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9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11" min="7" style="0" width="11"/>
  </cols>
  <sheetData>
    <row r="1" customFormat="false" ht="17.35" hidden="false" customHeight="false" outlineLevel="0" collapsed="false">
      <c r="A1" s="1" t="s">
        <v>829</v>
      </c>
    </row>
    <row r="2" customFormat="false" ht="15" hidden="false" customHeight="false" outlineLevel="0" collapsed="false">
      <c r="A2" s="2" t="s">
        <v>830</v>
      </c>
    </row>
    <row r="3" customFormat="false" ht="15" hidden="false" customHeight="false" outlineLevel="0" collapsed="false">
      <c r="A3" s="3" t="s">
        <v>32</v>
      </c>
    </row>
    <row r="4" customFormat="false" ht="30" hidden="false" customHeight="true" outlineLevel="0" collapsed="false">
      <c r="A4" s="4" t="s">
        <v>831</v>
      </c>
      <c r="B4" s="4" t="s">
        <v>832</v>
      </c>
      <c r="C4" s="4" t="s">
        <v>833</v>
      </c>
      <c r="D4" s="4" t="s">
        <v>29</v>
      </c>
      <c r="E4" s="4" t="s">
        <v>655</v>
      </c>
      <c r="F4" s="4" t="s">
        <v>534</v>
      </c>
      <c r="G4" s="4" t="s">
        <v>821</v>
      </c>
      <c r="H4" s="4" t="s">
        <v>834</v>
      </c>
      <c r="I4" s="4" t="s">
        <v>835</v>
      </c>
      <c r="J4" s="4" t="s">
        <v>836</v>
      </c>
      <c r="K4" s="4" t="s">
        <v>837</v>
      </c>
    </row>
    <row r="5" customFormat="false" ht="15" hidden="false" customHeight="false" outlineLevel="0" collapsed="false">
      <c r="A5" s="5" t="n">
        <v>0</v>
      </c>
      <c r="B5" s="5" t="n">
        <v>1</v>
      </c>
      <c r="C5" s="5" t="n">
        <v>2.8</v>
      </c>
      <c r="D5" s="5" t="n">
        <v>70.3</v>
      </c>
      <c r="E5" s="5" t="n">
        <v>27.9</v>
      </c>
      <c r="F5" s="5" t="n">
        <v>0</v>
      </c>
      <c r="G5" s="5" t="n">
        <v>25.3</v>
      </c>
      <c r="H5" s="5" t="n">
        <v>4.2</v>
      </c>
      <c r="I5" s="5" t="n">
        <v>3.4</v>
      </c>
      <c r="J5" s="5" t="n">
        <v>40.5</v>
      </c>
      <c r="K5" s="5" t="n">
        <v>11</v>
      </c>
    </row>
    <row r="6" customFormat="false" ht="15" hidden="false" customHeight="false" outlineLevel="0" collapsed="false">
      <c r="A6" s="5" t="n">
        <v>5</v>
      </c>
      <c r="B6" s="5" t="n">
        <v>1</v>
      </c>
      <c r="C6" s="5" t="n">
        <v>7.6</v>
      </c>
      <c r="D6" s="5" t="n">
        <v>112.1</v>
      </c>
      <c r="E6" s="5" t="n">
        <v>30.3</v>
      </c>
      <c r="F6" s="5" t="n">
        <v>0</v>
      </c>
      <c r="G6" s="5" t="n">
        <v>21.2</v>
      </c>
      <c r="H6" s="5" t="n">
        <v>3.3</v>
      </c>
      <c r="I6" s="5" t="n">
        <v>2.6</v>
      </c>
      <c r="J6" s="5" t="n">
        <v>51.9</v>
      </c>
      <c r="K6" s="5" t="n">
        <v>11</v>
      </c>
    </row>
    <row r="7" customFormat="false" ht="15" hidden="false" customHeight="false" outlineLevel="0" collapsed="false">
      <c r="A7" s="5" t="n">
        <v>10</v>
      </c>
      <c r="B7" s="5" t="n">
        <v>1</v>
      </c>
      <c r="C7" s="5" t="n">
        <v>3.4</v>
      </c>
      <c r="D7" s="5" t="n">
        <v>110.4</v>
      </c>
      <c r="E7" s="5" t="n">
        <v>28</v>
      </c>
      <c r="F7" s="5" t="n">
        <v>0</v>
      </c>
      <c r="G7" s="5" t="n">
        <v>11.7</v>
      </c>
      <c r="H7" s="5" t="n">
        <v>2.8</v>
      </c>
      <c r="I7" s="5" t="n">
        <v>1.6</v>
      </c>
      <c r="J7" s="5" t="n">
        <v>68.7</v>
      </c>
      <c r="K7" s="5" t="n">
        <v>11</v>
      </c>
    </row>
    <row r="8" customFormat="false" ht="15" hidden="false" customHeight="false" outlineLevel="0" collapsed="false">
      <c r="A8" s="5" t="n">
        <v>15</v>
      </c>
      <c r="B8" s="5" t="n">
        <v>1</v>
      </c>
      <c r="C8" s="5" t="n">
        <v>8.8</v>
      </c>
      <c r="D8" s="5" t="n">
        <v>112.5</v>
      </c>
      <c r="E8" s="5" t="n">
        <v>27.3</v>
      </c>
      <c r="F8" s="5" t="n">
        <v>0</v>
      </c>
      <c r="G8" s="5" t="n">
        <v>18</v>
      </c>
      <c r="H8" s="5" t="n">
        <v>1.6</v>
      </c>
      <c r="I8" s="5" t="n">
        <v>3.2</v>
      </c>
      <c r="J8" s="5" t="n">
        <v>82.9</v>
      </c>
      <c r="K8" s="5" t="n">
        <v>11</v>
      </c>
    </row>
    <row r="9" customFormat="false" ht="15" hidden="false" customHeight="false" outlineLevel="0" collapsed="false">
      <c r="A9" s="5" t="n">
        <v>20</v>
      </c>
      <c r="B9" s="5" t="n">
        <v>1</v>
      </c>
      <c r="C9" s="5" t="n">
        <v>3.2</v>
      </c>
      <c r="D9" s="5" t="n">
        <v>134.7</v>
      </c>
      <c r="E9" s="5" t="n">
        <v>34.3</v>
      </c>
      <c r="F9" s="5" t="n">
        <v>0</v>
      </c>
      <c r="G9" s="5" t="n">
        <v>25.8</v>
      </c>
      <c r="H9" s="5" t="n">
        <v>3.5</v>
      </c>
      <c r="I9" s="5" t="n">
        <v>2.6</v>
      </c>
      <c r="J9" s="5" t="n">
        <v>100.5</v>
      </c>
      <c r="K9" s="5" t="n">
        <v>11</v>
      </c>
    </row>
    <row r="10" customFormat="false" ht="15" hidden="false" customHeight="false" outlineLevel="0" collapsed="false">
      <c r="A10" s="5" t="n">
        <v>25</v>
      </c>
      <c r="B10" s="5" t="n">
        <v>1</v>
      </c>
      <c r="C10" s="5" t="n">
        <v>8.4</v>
      </c>
      <c r="D10" s="5" t="n">
        <v>111.4</v>
      </c>
      <c r="E10" s="5" t="n">
        <v>21.6</v>
      </c>
      <c r="F10" s="5" t="n">
        <v>0</v>
      </c>
      <c r="G10" s="5" t="n">
        <v>33.2</v>
      </c>
      <c r="H10" s="5" t="n">
        <v>3.5</v>
      </c>
      <c r="I10" s="5" t="n">
        <v>2.7</v>
      </c>
      <c r="J10" s="5" t="n">
        <v>111.1</v>
      </c>
      <c r="K10" s="5" t="n">
        <v>11</v>
      </c>
    </row>
    <row r="11" customFormat="false" ht="15" hidden="false" customHeight="false" outlineLevel="0" collapsed="false">
      <c r="A11" s="5" t="n">
        <v>30</v>
      </c>
      <c r="B11" s="5" t="n">
        <v>1</v>
      </c>
      <c r="C11" s="5" t="n">
        <v>2.8</v>
      </c>
      <c r="D11" s="5" t="n">
        <v>64.7</v>
      </c>
      <c r="E11" s="5" t="n">
        <v>22.6</v>
      </c>
      <c r="F11" s="5" t="n">
        <v>0</v>
      </c>
      <c r="G11" s="5" t="n">
        <v>9.2</v>
      </c>
      <c r="H11" s="5" t="n">
        <v>3.4</v>
      </c>
      <c r="I11" s="5" t="n">
        <v>1.2</v>
      </c>
      <c r="J11" s="5" t="n">
        <v>125.9</v>
      </c>
      <c r="K11" s="5" t="n">
        <v>11</v>
      </c>
    </row>
    <row r="12" customFormat="false" ht="15" hidden="false" customHeight="false" outlineLevel="0" collapsed="false">
      <c r="A12" s="5" t="n">
        <v>35</v>
      </c>
      <c r="B12" s="5" t="n">
        <v>1</v>
      </c>
      <c r="C12" s="5" t="n">
        <v>8.4</v>
      </c>
      <c r="D12" s="5" t="n">
        <v>111.8</v>
      </c>
      <c r="E12" s="5" t="n">
        <v>25</v>
      </c>
      <c r="F12" s="5" t="n">
        <v>0</v>
      </c>
      <c r="G12" s="5" t="n">
        <v>29.3</v>
      </c>
      <c r="H12" s="5" t="n">
        <v>3.9</v>
      </c>
      <c r="I12" s="5" t="n">
        <v>2.4</v>
      </c>
      <c r="J12" s="5" t="n">
        <v>138.9</v>
      </c>
      <c r="K12" s="5" t="n">
        <v>11</v>
      </c>
    </row>
    <row r="13" customFormat="false" ht="15" hidden="false" customHeight="false" outlineLevel="0" collapsed="false">
      <c r="A13" s="5" t="n">
        <v>40</v>
      </c>
      <c r="B13" s="5" t="n">
        <v>1</v>
      </c>
      <c r="C13" s="5" t="n">
        <v>3</v>
      </c>
      <c r="D13" s="5" t="n">
        <v>65.7</v>
      </c>
      <c r="E13" s="5" t="n">
        <v>23.3</v>
      </c>
      <c r="F13" s="5" t="n">
        <v>0</v>
      </c>
      <c r="G13" s="5" t="n">
        <v>15.7</v>
      </c>
      <c r="H13" s="5" t="n">
        <v>3.1</v>
      </c>
      <c r="I13" s="5" t="n">
        <v>1.6</v>
      </c>
      <c r="J13" s="5" t="n">
        <v>155.5</v>
      </c>
      <c r="K13" s="5" t="n">
        <v>11</v>
      </c>
    </row>
    <row r="14" customFormat="false" ht="15" hidden="false" customHeight="false" outlineLevel="0" collapsed="false">
      <c r="A14" s="5" t="n">
        <v>45</v>
      </c>
      <c r="B14" s="5" t="n">
        <v>1</v>
      </c>
      <c r="C14" s="5" t="n">
        <v>9.8</v>
      </c>
      <c r="D14" s="5" t="n">
        <v>108.2</v>
      </c>
      <c r="E14" s="5" t="n">
        <v>23.6</v>
      </c>
      <c r="F14" s="5" t="n">
        <v>0</v>
      </c>
      <c r="G14" s="5" t="n">
        <v>22</v>
      </c>
      <c r="H14" s="5" t="n">
        <v>2.2</v>
      </c>
      <c r="I14" s="5" t="n">
        <v>2.4</v>
      </c>
      <c r="J14" s="5" t="n">
        <v>167.9</v>
      </c>
      <c r="K14" s="5" t="n">
        <v>11</v>
      </c>
    </row>
    <row r="15" customFormat="false" ht="15" hidden="false" customHeight="false" outlineLevel="0" collapsed="false">
      <c r="A15" s="5" t="n">
        <v>50</v>
      </c>
      <c r="B15" s="5" t="n">
        <v>1</v>
      </c>
      <c r="C15" s="5" t="n">
        <v>1.8</v>
      </c>
      <c r="D15" s="5" t="n">
        <v>109.7</v>
      </c>
      <c r="E15" s="5" t="n">
        <v>42.2</v>
      </c>
      <c r="F15" s="5" t="n">
        <v>0</v>
      </c>
      <c r="G15" s="5" t="n">
        <v>13.5</v>
      </c>
      <c r="H15" s="5" t="n">
        <v>3.3</v>
      </c>
      <c r="I15" s="5" t="n">
        <v>1.6</v>
      </c>
      <c r="J15" s="5" t="n">
        <v>184.9</v>
      </c>
      <c r="K15" s="5" t="n">
        <v>11</v>
      </c>
    </row>
    <row r="16" customFormat="false" ht="15" hidden="false" customHeight="false" outlineLevel="0" collapsed="false">
      <c r="A16" s="5" t="n">
        <v>55</v>
      </c>
      <c r="B16" s="5" t="n">
        <v>1</v>
      </c>
      <c r="C16" s="5" t="n">
        <v>4</v>
      </c>
      <c r="D16" s="5" t="n">
        <v>107.2</v>
      </c>
      <c r="E16" s="5" t="n">
        <v>22</v>
      </c>
      <c r="F16" s="5" t="n">
        <v>0</v>
      </c>
      <c r="G16" s="5" t="n">
        <v>28.4</v>
      </c>
      <c r="H16" s="5" t="n">
        <v>4.9</v>
      </c>
      <c r="I16" s="5" t="n">
        <v>2.6</v>
      </c>
      <c r="J16" s="5" t="n">
        <v>190.9</v>
      </c>
      <c r="K16" s="5" t="n">
        <v>11</v>
      </c>
    </row>
    <row r="20" customFormat="false" ht="15" hidden="false" customHeight="false" outlineLevel="0" collapsed="false">
      <c r="A20" s="3" t="s">
        <v>33</v>
      </c>
    </row>
    <row r="21" customFormat="false" ht="30" hidden="false" customHeight="true" outlineLevel="0" collapsed="false">
      <c r="A21" s="4" t="s">
        <v>831</v>
      </c>
      <c r="B21" s="4" t="s">
        <v>832</v>
      </c>
      <c r="C21" s="4" t="s">
        <v>833</v>
      </c>
      <c r="D21" s="4" t="s">
        <v>29</v>
      </c>
      <c r="E21" s="4" t="s">
        <v>655</v>
      </c>
      <c r="F21" s="4" t="s">
        <v>534</v>
      </c>
      <c r="G21" s="4" t="s">
        <v>821</v>
      </c>
      <c r="H21" s="4" t="s">
        <v>834</v>
      </c>
      <c r="I21" s="4" t="s">
        <v>835</v>
      </c>
      <c r="J21" s="4" t="s">
        <v>836</v>
      </c>
      <c r="K21" s="4" t="s">
        <v>837</v>
      </c>
    </row>
    <row r="22" customFormat="false" ht="15" hidden="false" customHeight="false" outlineLevel="0" collapsed="false">
      <c r="A22" s="5" t="n">
        <v>0</v>
      </c>
      <c r="B22" s="5" t="n">
        <v>3</v>
      </c>
      <c r="C22" s="5" t="n">
        <v>4</v>
      </c>
      <c r="D22" s="5" t="n">
        <v>14.8</v>
      </c>
      <c r="E22" s="5" t="n">
        <v>6.1</v>
      </c>
      <c r="F22" s="5" t="n">
        <v>0</v>
      </c>
      <c r="G22" s="5" t="n">
        <v>2.1</v>
      </c>
      <c r="H22" s="5" t="n">
        <v>2.5</v>
      </c>
      <c r="I22" s="5" t="n">
        <v>0.6</v>
      </c>
      <c r="J22" s="5" t="n">
        <v>311.8</v>
      </c>
      <c r="K22" s="5" t="n">
        <v>11</v>
      </c>
    </row>
    <row r="23" customFormat="false" ht="15" hidden="false" customHeight="false" outlineLevel="0" collapsed="false">
      <c r="A23" s="5" t="n">
        <v>5</v>
      </c>
      <c r="B23" s="5" t="n">
        <v>9</v>
      </c>
      <c r="C23" s="5" t="n">
        <v>11.2</v>
      </c>
      <c r="D23" s="5" t="n">
        <v>16</v>
      </c>
      <c r="E23" s="5" t="n">
        <v>7</v>
      </c>
      <c r="F23" s="5" t="n">
        <v>0</v>
      </c>
      <c r="G23" s="5" t="n">
        <v>6.2</v>
      </c>
      <c r="H23" s="5" t="n">
        <v>2.5</v>
      </c>
      <c r="I23" s="5" t="n">
        <v>1.2</v>
      </c>
      <c r="J23" s="5" t="n">
        <v>220.8</v>
      </c>
      <c r="K23" s="5" t="n">
        <v>11</v>
      </c>
    </row>
    <row r="24" customFormat="false" ht="15" hidden="false" customHeight="false" outlineLevel="0" collapsed="false">
      <c r="A24" s="5" t="n">
        <v>10</v>
      </c>
      <c r="B24" s="5" t="n">
        <v>13</v>
      </c>
      <c r="C24" s="5" t="n">
        <v>13.2</v>
      </c>
      <c r="D24" s="5" t="n">
        <v>13.1</v>
      </c>
      <c r="E24" s="5" t="n">
        <v>6.3</v>
      </c>
      <c r="F24" s="5" t="n">
        <v>0</v>
      </c>
      <c r="G24" s="5" t="n">
        <v>8.6</v>
      </c>
      <c r="H24" s="5" t="n">
        <v>3.9</v>
      </c>
      <c r="I24" s="5" t="n">
        <v>1.3</v>
      </c>
      <c r="J24" s="5" t="n">
        <v>39.5</v>
      </c>
      <c r="K24" s="5" t="n">
        <v>11</v>
      </c>
    </row>
    <row r="25" customFormat="false" ht="15" hidden="false" customHeight="false" outlineLevel="0" collapsed="false">
      <c r="A25" s="5" t="n">
        <v>15</v>
      </c>
      <c r="B25" s="5" t="n">
        <v>18</v>
      </c>
      <c r="C25" s="5" t="n">
        <v>11.8</v>
      </c>
      <c r="D25" s="5" t="n">
        <v>14.5</v>
      </c>
      <c r="E25" s="5" t="n">
        <v>6.9</v>
      </c>
      <c r="F25" s="5" t="n">
        <v>0</v>
      </c>
      <c r="G25" s="5" t="n">
        <v>10.6</v>
      </c>
      <c r="H25" s="5" t="n">
        <v>4.9</v>
      </c>
      <c r="I25" s="5" t="n">
        <v>1.5</v>
      </c>
      <c r="J25" s="5" t="n">
        <v>51.1</v>
      </c>
      <c r="K25" s="5" t="n">
        <v>11</v>
      </c>
    </row>
    <row r="26" customFormat="false" ht="15" hidden="false" customHeight="false" outlineLevel="0" collapsed="false">
      <c r="A26" s="5" t="n">
        <v>20</v>
      </c>
      <c r="B26" s="5" t="n">
        <v>22</v>
      </c>
      <c r="C26" s="5" t="n">
        <v>15.6</v>
      </c>
      <c r="D26" s="5" t="n">
        <v>16.8</v>
      </c>
      <c r="E26" s="5" t="n">
        <v>7.7</v>
      </c>
      <c r="F26" s="5" t="n">
        <v>0</v>
      </c>
      <c r="G26" s="5" t="n">
        <v>13.9</v>
      </c>
      <c r="H26" s="5" t="n">
        <v>6.5</v>
      </c>
      <c r="I26" s="5" t="n">
        <v>1.8</v>
      </c>
      <c r="J26" s="5" t="n">
        <v>65.3</v>
      </c>
      <c r="K26" s="5" t="n">
        <v>11</v>
      </c>
    </row>
    <row r="27" customFormat="false" ht="15" hidden="false" customHeight="false" outlineLevel="0" collapsed="false">
      <c r="A27" s="5" t="n">
        <v>25</v>
      </c>
      <c r="B27" s="5" t="n">
        <v>26</v>
      </c>
      <c r="C27" s="5" t="n">
        <v>20</v>
      </c>
      <c r="D27" s="5" t="n">
        <v>15.3</v>
      </c>
      <c r="E27" s="5" t="n">
        <v>7.3</v>
      </c>
      <c r="F27" s="5" t="n">
        <v>0</v>
      </c>
      <c r="G27" s="5" t="n">
        <v>11.6</v>
      </c>
      <c r="H27" s="5" t="n">
        <v>7.3</v>
      </c>
      <c r="I27" s="5" t="n">
        <v>1.6</v>
      </c>
      <c r="J27" s="5" t="n">
        <v>81.3</v>
      </c>
      <c r="K27" s="5" t="n">
        <v>11</v>
      </c>
    </row>
    <row r="28" customFormat="false" ht="15" hidden="false" customHeight="false" outlineLevel="0" collapsed="false">
      <c r="A28" s="5" t="n">
        <v>30</v>
      </c>
      <c r="B28" s="5" t="n">
        <v>30</v>
      </c>
      <c r="C28" s="5" t="n">
        <v>21.4</v>
      </c>
      <c r="D28" s="5" t="n">
        <v>15.7</v>
      </c>
      <c r="E28" s="5" t="n">
        <v>7.1</v>
      </c>
      <c r="F28" s="5" t="n">
        <v>0</v>
      </c>
      <c r="G28" s="5" t="n">
        <v>15.3</v>
      </c>
      <c r="H28" s="5" t="n">
        <v>7.5</v>
      </c>
      <c r="I28" s="5" t="n">
        <v>1.9</v>
      </c>
      <c r="J28" s="5" t="n">
        <v>100.9</v>
      </c>
      <c r="K28" s="5" t="n">
        <v>11</v>
      </c>
    </row>
    <row r="29" customFormat="false" ht="15" hidden="false" customHeight="false" outlineLevel="0" collapsed="false">
      <c r="A29" s="5" t="n">
        <v>35</v>
      </c>
      <c r="B29" s="5" t="n">
        <v>36</v>
      </c>
      <c r="C29" s="5" t="n">
        <v>33</v>
      </c>
      <c r="D29" s="5" t="n">
        <v>15.1</v>
      </c>
      <c r="E29" s="5" t="n">
        <v>7.2</v>
      </c>
      <c r="F29" s="5" t="n">
        <v>0</v>
      </c>
      <c r="G29" s="5" t="n">
        <v>5.3</v>
      </c>
      <c r="H29" s="5" t="n">
        <v>3.4</v>
      </c>
      <c r="I29" s="5" t="n">
        <v>3.1</v>
      </c>
      <c r="J29" s="5" t="n">
        <v>123.5</v>
      </c>
      <c r="K29" s="5" t="n">
        <v>11</v>
      </c>
    </row>
    <row r="30" customFormat="false" ht="15" hidden="false" customHeight="false" outlineLevel="0" collapsed="false">
      <c r="A30" s="5" t="n">
        <v>40</v>
      </c>
      <c r="B30" s="5" t="n">
        <v>40</v>
      </c>
      <c r="C30" s="5" t="n">
        <v>31.2</v>
      </c>
      <c r="D30" s="5" t="n">
        <v>14.9</v>
      </c>
      <c r="E30" s="5" t="n">
        <v>7.1</v>
      </c>
      <c r="F30" s="5" t="n">
        <v>0</v>
      </c>
      <c r="G30" s="5" t="n">
        <v>26.7</v>
      </c>
      <c r="H30" s="5" t="n">
        <v>9.8</v>
      </c>
      <c r="I30" s="5" t="n">
        <v>2.8</v>
      </c>
      <c r="J30" s="5" t="n">
        <v>151.1</v>
      </c>
      <c r="K30" s="5" t="n">
        <v>11</v>
      </c>
    </row>
    <row r="31" customFormat="false" ht="15" hidden="false" customHeight="false" outlineLevel="0" collapsed="false">
      <c r="A31" s="5" t="n">
        <v>45</v>
      </c>
      <c r="B31" s="5" t="n">
        <v>44</v>
      </c>
      <c r="C31" s="5" t="n">
        <v>31</v>
      </c>
      <c r="D31" s="5" t="n">
        <v>15.7</v>
      </c>
      <c r="E31" s="5" t="n">
        <v>7.2</v>
      </c>
      <c r="F31" s="5" t="n">
        <v>0</v>
      </c>
      <c r="G31" s="5" t="n">
        <v>37.1</v>
      </c>
      <c r="H31" s="5" t="n">
        <v>10.8</v>
      </c>
      <c r="I31" s="5" t="n">
        <v>3.7</v>
      </c>
      <c r="J31" s="5" t="n">
        <v>179.7</v>
      </c>
      <c r="K31" s="5" t="n">
        <v>11</v>
      </c>
    </row>
    <row r="32" customFormat="false" ht="15" hidden="false" customHeight="false" outlineLevel="0" collapsed="false">
      <c r="A32" s="5" t="n">
        <v>50</v>
      </c>
      <c r="B32" s="5" t="n">
        <v>48</v>
      </c>
      <c r="C32" s="5" t="n">
        <v>33.8</v>
      </c>
      <c r="D32" s="5" t="n">
        <v>15.3</v>
      </c>
      <c r="E32" s="5" t="n">
        <v>7.2</v>
      </c>
      <c r="F32" s="5" t="n">
        <v>0</v>
      </c>
      <c r="G32" s="5" t="n">
        <v>12.6</v>
      </c>
      <c r="H32" s="5" t="n">
        <v>12</v>
      </c>
      <c r="I32" s="5" t="n">
        <v>2</v>
      </c>
      <c r="J32" s="5" t="n">
        <v>210.5</v>
      </c>
      <c r="K32" s="5" t="n">
        <v>11</v>
      </c>
    </row>
    <row r="33" customFormat="false" ht="15" hidden="false" customHeight="false" outlineLevel="0" collapsed="false">
      <c r="A33" s="5" t="n">
        <v>55</v>
      </c>
      <c r="B33" s="5" t="n">
        <v>50</v>
      </c>
      <c r="C33" s="5" t="n">
        <v>32.8</v>
      </c>
      <c r="D33" s="5" t="n">
        <v>15</v>
      </c>
      <c r="E33" s="5" t="n">
        <v>7.5</v>
      </c>
      <c r="F33" s="5" t="n">
        <v>0</v>
      </c>
      <c r="G33" s="5" t="n">
        <v>11.7</v>
      </c>
      <c r="H33" s="5" t="n">
        <v>12.1</v>
      </c>
      <c r="I33" s="5" t="n">
        <v>1.9</v>
      </c>
      <c r="J33" s="5" t="n">
        <v>243.5</v>
      </c>
      <c r="K33" s="5" t="n">
        <v>11</v>
      </c>
    </row>
    <row r="34" customFormat="false" ht="15" hidden="false" customHeight="false" outlineLevel="0" collapsed="false">
      <c r="A34" s="5" t="n">
        <v>60</v>
      </c>
      <c r="B34" s="5" t="n">
        <v>50</v>
      </c>
      <c r="C34" s="5" t="n">
        <v>32.2</v>
      </c>
      <c r="D34" s="5" t="n">
        <v>15.7</v>
      </c>
      <c r="E34" s="5" t="n">
        <v>7.5</v>
      </c>
      <c r="F34" s="5" t="n">
        <v>0</v>
      </c>
      <c r="G34" s="5" t="n">
        <v>16.7</v>
      </c>
      <c r="H34" s="5" t="n">
        <v>12.1</v>
      </c>
      <c r="I34" s="5" t="n">
        <v>2.3</v>
      </c>
      <c r="J34" s="5" t="n">
        <v>276.3</v>
      </c>
      <c r="K34" s="5" t="n">
        <v>11</v>
      </c>
    </row>
    <row r="35" customFormat="false" ht="15" hidden="false" customHeight="false" outlineLevel="0" collapsed="false">
      <c r="A35" s="5" t="n">
        <v>65</v>
      </c>
      <c r="B35" s="5" t="n">
        <v>50</v>
      </c>
      <c r="C35" s="5" t="n">
        <v>39</v>
      </c>
      <c r="D35" s="5" t="n">
        <v>15.1</v>
      </c>
      <c r="E35" s="5" t="n">
        <v>7.3</v>
      </c>
      <c r="F35" s="5" t="n">
        <v>0</v>
      </c>
      <c r="G35" s="5" t="n">
        <v>12.9</v>
      </c>
      <c r="H35" s="5" t="n">
        <v>5.8</v>
      </c>
      <c r="I35" s="5" t="n">
        <v>2.5</v>
      </c>
      <c r="J35" s="5" t="n">
        <v>217.1</v>
      </c>
      <c r="K35" s="5" t="n">
        <v>11</v>
      </c>
    </row>
    <row r="36" customFormat="false" ht="15" hidden="false" customHeight="false" outlineLevel="0" collapsed="false">
      <c r="A36" s="5" t="n">
        <v>70</v>
      </c>
      <c r="B36" s="5" t="n">
        <v>50</v>
      </c>
      <c r="C36" s="5" t="n">
        <v>41</v>
      </c>
      <c r="D36" s="5" t="n">
        <v>14.7</v>
      </c>
      <c r="E36" s="5" t="n">
        <v>7.2</v>
      </c>
      <c r="F36" s="5" t="n">
        <v>0</v>
      </c>
      <c r="G36" s="5" t="n">
        <v>19.8</v>
      </c>
      <c r="H36" s="5" t="n">
        <v>11.8</v>
      </c>
      <c r="I36" s="5" t="n">
        <v>2.6</v>
      </c>
      <c r="J36" s="5" t="n">
        <v>65</v>
      </c>
      <c r="K36" s="5" t="n">
        <v>11</v>
      </c>
    </row>
    <row r="37" customFormat="false" ht="15" hidden="false" customHeight="false" outlineLevel="0" collapsed="false">
      <c r="A37" s="5" t="n">
        <v>75</v>
      </c>
      <c r="B37" s="5" t="n">
        <v>50</v>
      </c>
      <c r="C37" s="5" t="n">
        <v>35.4</v>
      </c>
      <c r="D37" s="5" t="n">
        <v>15.1</v>
      </c>
      <c r="E37" s="5" t="n">
        <v>7.1</v>
      </c>
      <c r="F37" s="5" t="n">
        <v>0</v>
      </c>
      <c r="G37" s="5" t="n">
        <v>21.7</v>
      </c>
      <c r="H37" s="5" t="n">
        <v>12.3</v>
      </c>
      <c r="I37" s="5" t="n">
        <v>2.6</v>
      </c>
      <c r="J37" s="5" t="n">
        <v>102.8</v>
      </c>
      <c r="K37" s="5" t="n">
        <v>11</v>
      </c>
    </row>
    <row r="38" customFormat="false" ht="15" hidden="false" customHeight="false" outlineLevel="0" collapsed="false">
      <c r="A38" s="5" t="n">
        <v>80</v>
      </c>
      <c r="B38" s="5" t="n">
        <v>50</v>
      </c>
      <c r="C38" s="5" t="n">
        <v>36.6</v>
      </c>
      <c r="D38" s="5" t="n">
        <v>15.5</v>
      </c>
      <c r="E38" s="5" t="n">
        <v>7.2</v>
      </c>
      <c r="F38" s="5" t="n">
        <v>0</v>
      </c>
      <c r="G38" s="5" t="n">
        <v>13.3</v>
      </c>
      <c r="H38" s="5" t="n">
        <v>12.9</v>
      </c>
      <c r="I38" s="5" t="n">
        <v>2.2</v>
      </c>
      <c r="J38" s="5" t="n">
        <v>137.2</v>
      </c>
      <c r="K38" s="5" t="n">
        <v>11</v>
      </c>
    </row>
    <row r="39" customFormat="false" ht="15" hidden="false" customHeight="false" outlineLevel="0" collapsed="false">
      <c r="A39" s="5" t="n">
        <v>85</v>
      </c>
      <c r="B39" s="5" t="n">
        <v>50</v>
      </c>
      <c r="C39" s="5" t="n">
        <v>32.6</v>
      </c>
      <c r="D39" s="5" t="n">
        <v>14.2</v>
      </c>
      <c r="E39" s="5" t="n">
        <v>6.9</v>
      </c>
      <c r="F39" s="5" t="n">
        <v>0</v>
      </c>
      <c r="G39" s="5" t="n">
        <v>13.8</v>
      </c>
      <c r="H39" s="5" t="n">
        <v>11.4</v>
      </c>
      <c r="I39" s="5" t="n">
        <v>2.1</v>
      </c>
      <c r="J39" s="5" t="n">
        <v>168.8</v>
      </c>
      <c r="K39" s="5" t="n">
        <v>11</v>
      </c>
    </row>
    <row r="40" customFormat="false" ht="15" hidden="false" customHeight="false" outlineLevel="0" collapsed="false">
      <c r="A40" s="5" t="n">
        <v>90</v>
      </c>
      <c r="B40" s="5" t="n">
        <v>50</v>
      </c>
      <c r="C40" s="5" t="n">
        <v>34</v>
      </c>
      <c r="D40" s="5" t="n">
        <v>14.8</v>
      </c>
      <c r="E40" s="5" t="n">
        <v>7</v>
      </c>
      <c r="F40" s="5" t="n">
        <v>0</v>
      </c>
      <c r="G40" s="5" t="n">
        <v>18.2</v>
      </c>
      <c r="H40" s="5" t="n">
        <v>11.4</v>
      </c>
      <c r="I40" s="5" t="n">
        <v>2.4</v>
      </c>
      <c r="J40" s="5" t="n">
        <v>201.4</v>
      </c>
      <c r="K40" s="5" t="n">
        <v>11</v>
      </c>
    </row>
    <row r="41" customFormat="false" ht="15" hidden="false" customHeight="false" outlineLevel="0" collapsed="false">
      <c r="A41" s="5" t="n">
        <v>95</v>
      </c>
      <c r="B41" s="5" t="n">
        <v>50</v>
      </c>
      <c r="C41" s="5" t="n">
        <v>35.4</v>
      </c>
      <c r="D41" s="5" t="n">
        <v>15.5</v>
      </c>
      <c r="E41" s="5" t="n">
        <v>7.5</v>
      </c>
      <c r="F41" s="5" t="n">
        <v>0</v>
      </c>
      <c r="G41" s="5" t="n">
        <v>9.5</v>
      </c>
      <c r="H41" s="5" t="n">
        <v>8.3</v>
      </c>
      <c r="I41" s="5" t="n">
        <v>2.2</v>
      </c>
      <c r="J41" s="5" t="n">
        <v>237.5</v>
      </c>
      <c r="K41" s="5" t="n">
        <v>11</v>
      </c>
    </row>
    <row r="42" customFormat="false" ht="15" hidden="false" customHeight="false" outlineLevel="0" collapsed="false">
      <c r="A42" s="5" t="n">
        <v>100</v>
      </c>
      <c r="B42" s="5" t="n">
        <v>50</v>
      </c>
      <c r="C42" s="5" t="n">
        <v>42.6</v>
      </c>
      <c r="D42" s="5" t="n">
        <v>15.4</v>
      </c>
      <c r="E42" s="5" t="n">
        <v>7.6</v>
      </c>
      <c r="F42" s="5" t="n">
        <v>0</v>
      </c>
      <c r="G42" s="5" t="n">
        <v>18.5</v>
      </c>
      <c r="H42" s="5" t="n">
        <v>13.4</v>
      </c>
      <c r="I42" s="5" t="n">
        <v>2.4</v>
      </c>
      <c r="J42" s="5" t="n">
        <v>276.6</v>
      </c>
      <c r="K42" s="5" t="n">
        <v>11</v>
      </c>
    </row>
    <row r="43" customFormat="false" ht="15" hidden="false" customHeight="false" outlineLevel="0" collapsed="false">
      <c r="A43" s="5" t="n">
        <v>105</v>
      </c>
      <c r="B43" s="5" t="n">
        <v>50</v>
      </c>
      <c r="C43" s="5" t="n">
        <v>34.2</v>
      </c>
      <c r="D43" s="5" t="n">
        <v>14.9</v>
      </c>
      <c r="E43" s="5" t="n">
        <v>7.4</v>
      </c>
      <c r="F43" s="5" t="n">
        <v>0</v>
      </c>
      <c r="G43" s="5" t="n">
        <v>12.8</v>
      </c>
      <c r="H43" s="5" t="n">
        <v>12.2</v>
      </c>
      <c r="I43" s="5" t="n">
        <v>2.1</v>
      </c>
      <c r="J43" s="5" t="n">
        <v>252.3</v>
      </c>
      <c r="K43" s="5" t="n">
        <v>11</v>
      </c>
    </row>
    <row r="44" customFormat="false" ht="15" hidden="false" customHeight="false" outlineLevel="0" collapsed="false">
      <c r="A44" s="5" t="n">
        <v>110</v>
      </c>
      <c r="B44" s="5" t="n">
        <v>50</v>
      </c>
      <c r="C44" s="5" t="n">
        <v>30.4</v>
      </c>
      <c r="D44" s="5" t="n">
        <v>14.5</v>
      </c>
      <c r="E44" s="5" t="n">
        <v>7.6</v>
      </c>
      <c r="F44" s="5" t="n">
        <v>0</v>
      </c>
      <c r="G44" s="5" t="n">
        <v>11.2</v>
      </c>
      <c r="H44" s="5" t="n">
        <v>11.4</v>
      </c>
      <c r="I44" s="5" t="n">
        <v>1.9</v>
      </c>
      <c r="J44" s="5" t="n">
        <v>55.9</v>
      </c>
      <c r="K44" s="5" t="n">
        <v>11</v>
      </c>
    </row>
    <row r="45" customFormat="false" ht="15" hidden="false" customHeight="false" outlineLevel="0" collapsed="false">
      <c r="A45" s="5" t="n">
        <v>115</v>
      </c>
      <c r="B45" s="5" t="n">
        <v>50</v>
      </c>
      <c r="C45" s="5" t="n">
        <v>36.4</v>
      </c>
      <c r="D45" s="5" t="n">
        <v>15.1</v>
      </c>
      <c r="E45" s="5" t="n">
        <v>7.3</v>
      </c>
      <c r="F45" s="5" t="n">
        <v>0</v>
      </c>
      <c r="G45" s="5" t="n">
        <v>12.7</v>
      </c>
      <c r="H45" s="5" t="n">
        <v>13.5</v>
      </c>
      <c r="I45" s="5" t="n">
        <v>2</v>
      </c>
      <c r="J45" s="5" t="n">
        <v>88.9</v>
      </c>
      <c r="K45" s="5" t="n">
        <v>11</v>
      </c>
    </row>
    <row r="46" customFormat="false" ht="15" hidden="false" customHeight="false" outlineLevel="0" collapsed="false">
      <c r="A46" s="5" t="n">
        <v>120</v>
      </c>
      <c r="B46" s="5" t="n">
        <v>50</v>
      </c>
      <c r="C46" s="5" t="n">
        <v>32.4</v>
      </c>
      <c r="D46" s="5" t="n">
        <v>15</v>
      </c>
      <c r="E46" s="5" t="n">
        <v>7.3</v>
      </c>
      <c r="F46" s="5" t="n">
        <v>0</v>
      </c>
      <c r="G46" s="5" t="n">
        <v>11.2</v>
      </c>
      <c r="H46" s="5" t="n">
        <v>12</v>
      </c>
      <c r="I46" s="5" t="n">
        <v>1.9</v>
      </c>
      <c r="J46" s="5" t="n">
        <v>124.3</v>
      </c>
      <c r="K46" s="5" t="n">
        <v>11</v>
      </c>
    </row>
    <row r="47" customFormat="false" ht="15" hidden="false" customHeight="false" outlineLevel="0" collapsed="false">
      <c r="A47" s="5" t="n">
        <v>125</v>
      </c>
      <c r="B47" s="5" t="n">
        <v>50</v>
      </c>
      <c r="C47" s="5" t="n">
        <v>35.6</v>
      </c>
      <c r="D47" s="5" t="n">
        <v>14.3</v>
      </c>
      <c r="E47" s="5" t="n">
        <v>7.1</v>
      </c>
      <c r="F47" s="5" t="n">
        <v>0</v>
      </c>
      <c r="G47" s="5" t="n">
        <v>12</v>
      </c>
      <c r="H47" s="5" t="n">
        <v>12.4</v>
      </c>
      <c r="I47" s="5" t="n">
        <v>1.9</v>
      </c>
      <c r="J47" s="5" t="n">
        <v>160.9</v>
      </c>
      <c r="K47" s="5" t="n">
        <v>11</v>
      </c>
    </row>
    <row r="48" customFormat="false" ht="15" hidden="false" customHeight="false" outlineLevel="0" collapsed="false">
      <c r="A48" s="5" t="n">
        <v>130</v>
      </c>
      <c r="B48" s="5" t="n">
        <v>50</v>
      </c>
      <c r="C48" s="5" t="n">
        <v>46.4</v>
      </c>
      <c r="D48" s="5" t="n">
        <v>14.9</v>
      </c>
      <c r="E48" s="5" t="n">
        <v>7.4</v>
      </c>
      <c r="F48" s="5" t="n">
        <v>0</v>
      </c>
      <c r="G48" s="5" t="n">
        <v>6.6</v>
      </c>
      <c r="H48" s="5" t="n">
        <v>7.8</v>
      </c>
      <c r="I48" s="5" t="n">
        <v>2.1</v>
      </c>
      <c r="J48" s="5" t="n">
        <v>204.8</v>
      </c>
      <c r="K48" s="5" t="n">
        <v>11</v>
      </c>
    </row>
    <row r="49" customFormat="false" ht="15" hidden="false" customHeight="false" outlineLevel="0" collapsed="false">
      <c r="A49" s="5" t="n">
        <v>135</v>
      </c>
      <c r="B49" s="5" t="n">
        <v>50</v>
      </c>
      <c r="C49" s="5" t="n">
        <v>35</v>
      </c>
      <c r="D49" s="5" t="n">
        <v>14.8</v>
      </c>
      <c r="E49" s="5" t="n">
        <v>7.2</v>
      </c>
      <c r="F49" s="5" t="n">
        <v>0</v>
      </c>
      <c r="G49" s="5" t="n">
        <v>14.1</v>
      </c>
      <c r="H49" s="5" t="n">
        <v>12.2</v>
      </c>
      <c r="I49" s="5" t="n">
        <v>2.1</v>
      </c>
      <c r="J49" s="5" t="n">
        <v>242.9</v>
      </c>
      <c r="K49" s="5" t="n">
        <v>11</v>
      </c>
    </row>
    <row r="50" customFormat="false" ht="15" hidden="false" customHeight="false" outlineLevel="0" collapsed="false">
      <c r="A50" s="5" t="n">
        <v>140</v>
      </c>
      <c r="B50" s="5" t="n">
        <v>50</v>
      </c>
      <c r="C50" s="5" t="n">
        <v>30.8</v>
      </c>
      <c r="D50" s="5" t="n">
        <v>15.2</v>
      </c>
      <c r="E50" s="5" t="n">
        <v>7.4</v>
      </c>
      <c r="F50" s="5" t="n">
        <v>0</v>
      </c>
      <c r="G50" s="5" t="n">
        <v>13.8</v>
      </c>
      <c r="H50" s="5" t="n">
        <v>11.4</v>
      </c>
      <c r="I50" s="5" t="n">
        <v>1.9</v>
      </c>
      <c r="J50" s="5" t="n">
        <v>275.9</v>
      </c>
      <c r="K50" s="5" t="n">
        <v>11</v>
      </c>
    </row>
    <row r="51" customFormat="false" ht="15" hidden="false" customHeight="false" outlineLevel="0" collapsed="false">
      <c r="A51" s="5" t="n">
        <v>145</v>
      </c>
      <c r="B51" s="5" t="n">
        <v>50</v>
      </c>
      <c r="C51" s="5" t="n">
        <v>34.8</v>
      </c>
      <c r="D51" s="5" t="n">
        <v>15.6</v>
      </c>
      <c r="E51" s="5" t="n">
        <v>7.5</v>
      </c>
      <c r="F51" s="5" t="n">
        <v>0</v>
      </c>
      <c r="G51" s="5" t="n">
        <v>13.9</v>
      </c>
      <c r="H51" s="5" t="n">
        <v>13</v>
      </c>
      <c r="I51" s="5" t="n">
        <v>4.2</v>
      </c>
      <c r="J51" s="5" t="n">
        <v>251.9</v>
      </c>
      <c r="K51" s="5" t="n">
        <v>11</v>
      </c>
    </row>
    <row r="52" customFormat="false" ht="15" hidden="false" customHeight="false" outlineLevel="0" collapsed="false">
      <c r="A52" s="5" t="n">
        <v>150</v>
      </c>
      <c r="B52" s="5" t="n">
        <v>50</v>
      </c>
      <c r="C52" s="5" t="n">
        <v>34.6</v>
      </c>
      <c r="D52" s="5" t="n">
        <v>15.7</v>
      </c>
      <c r="E52" s="5" t="n">
        <v>7.1</v>
      </c>
      <c r="F52" s="5" t="n">
        <v>0</v>
      </c>
      <c r="G52" s="5" t="n">
        <v>12</v>
      </c>
      <c r="H52" s="5" t="n">
        <v>13</v>
      </c>
      <c r="I52" s="5" t="n">
        <v>4.5</v>
      </c>
      <c r="J52" s="5" t="n">
        <v>57.5</v>
      </c>
      <c r="K52" s="5" t="n">
        <v>11</v>
      </c>
    </row>
    <row r="53" customFormat="false" ht="15" hidden="false" customHeight="false" outlineLevel="0" collapsed="false">
      <c r="A53" s="5" t="n">
        <v>155</v>
      </c>
      <c r="B53" s="5" t="n">
        <v>50</v>
      </c>
      <c r="C53" s="5" t="n">
        <v>34.6</v>
      </c>
      <c r="D53" s="5" t="n">
        <v>15.5</v>
      </c>
      <c r="E53" s="5" t="n">
        <v>7.4</v>
      </c>
      <c r="F53" s="5" t="n">
        <v>0</v>
      </c>
      <c r="G53" s="5" t="n">
        <v>11.8</v>
      </c>
      <c r="H53" s="5" t="n">
        <v>12.4</v>
      </c>
      <c r="I53" s="5" t="n">
        <v>2.1</v>
      </c>
      <c r="J53" s="5" t="n">
        <v>92.5</v>
      </c>
      <c r="K53" s="5" t="n">
        <v>11</v>
      </c>
    </row>
    <row r="54" customFormat="false" ht="15" hidden="false" customHeight="false" outlineLevel="0" collapsed="false">
      <c r="A54" s="5" t="n">
        <v>160</v>
      </c>
      <c r="B54" s="5" t="n">
        <v>50</v>
      </c>
      <c r="C54" s="5" t="n">
        <v>41.6</v>
      </c>
      <c r="D54" s="5" t="n">
        <v>15.2</v>
      </c>
      <c r="E54" s="5" t="n">
        <v>7.2</v>
      </c>
      <c r="F54" s="5" t="n">
        <v>0</v>
      </c>
      <c r="G54" s="5" t="n">
        <v>5.2</v>
      </c>
      <c r="H54" s="5" t="n">
        <v>5.2</v>
      </c>
      <c r="I54" s="5" t="n">
        <v>2</v>
      </c>
      <c r="J54" s="5" t="n">
        <v>127.3</v>
      </c>
      <c r="K54" s="5" t="n">
        <v>11</v>
      </c>
    </row>
    <row r="55" customFormat="false" ht="15" hidden="false" customHeight="false" outlineLevel="0" collapsed="false">
      <c r="A55" s="5" t="n">
        <v>165</v>
      </c>
      <c r="B55" s="5" t="n">
        <v>50</v>
      </c>
      <c r="C55" s="5" t="n">
        <v>33.4</v>
      </c>
      <c r="D55" s="5" t="n">
        <v>15.2</v>
      </c>
      <c r="E55" s="5" t="n">
        <v>7.4</v>
      </c>
      <c r="F55" s="5" t="n">
        <v>0</v>
      </c>
      <c r="G55" s="5" t="n">
        <v>12</v>
      </c>
      <c r="H55" s="5" t="n">
        <v>12.4</v>
      </c>
      <c r="I55" s="5" t="n">
        <v>2.1</v>
      </c>
      <c r="J55" s="5" t="n">
        <v>162.5</v>
      </c>
      <c r="K55" s="5" t="n">
        <v>11</v>
      </c>
    </row>
    <row r="56" customFormat="false" ht="15" hidden="false" customHeight="false" outlineLevel="0" collapsed="false">
      <c r="A56" s="5" t="n">
        <v>170</v>
      </c>
      <c r="B56" s="5" t="n">
        <v>50</v>
      </c>
      <c r="C56" s="5" t="n">
        <v>32.8</v>
      </c>
      <c r="D56" s="5" t="n">
        <v>14.6</v>
      </c>
      <c r="E56" s="5" t="n">
        <v>7</v>
      </c>
      <c r="F56" s="5" t="n">
        <v>0</v>
      </c>
      <c r="G56" s="5" t="n">
        <v>11</v>
      </c>
      <c r="H56" s="5" t="n">
        <v>11.6</v>
      </c>
      <c r="I56" s="5" t="n">
        <v>1.7</v>
      </c>
      <c r="J56" s="5" t="n">
        <v>196.9</v>
      </c>
      <c r="K56" s="5" t="n">
        <v>11</v>
      </c>
    </row>
    <row r="57" customFormat="false" ht="15" hidden="false" customHeight="false" outlineLevel="0" collapsed="false">
      <c r="A57" s="5" t="n">
        <v>175</v>
      </c>
      <c r="B57" s="5" t="n">
        <v>50</v>
      </c>
      <c r="C57" s="5" t="n">
        <v>35.2</v>
      </c>
      <c r="D57" s="5" t="n">
        <v>14.4</v>
      </c>
      <c r="E57" s="5" t="n">
        <v>6.6</v>
      </c>
      <c r="F57" s="5" t="n">
        <v>0</v>
      </c>
      <c r="G57" s="5" t="n">
        <v>12</v>
      </c>
      <c r="H57" s="5" t="n">
        <v>11.4</v>
      </c>
      <c r="I57" s="5" t="n">
        <v>2</v>
      </c>
      <c r="J57" s="5" t="n">
        <v>229.3</v>
      </c>
      <c r="K57" s="5" t="n">
        <v>11</v>
      </c>
    </row>
    <row r="58" customFormat="false" ht="15" hidden="false" customHeight="false" outlineLevel="0" collapsed="false">
      <c r="A58" s="5" t="n">
        <v>180</v>
      </c>
      <c r="B58" s="5" t="n">
        <v>50</v>
      </c>
      <c r="C58" s="5" t="n">
        <v>32.2</v>
      </c>
      <c r="D58" s="5" t="n">
        <v>15.2</v>
      </c>
      <c r="E58" s="5" t="n">
        <v>7.4</v>
      </c>
      <c r="F58" s="5" t="n">
        <v>0</v>
      </c>
      <c r="G58" s="5" t="n">
        <v>12</v>
      </c>
      <c r="H58" s="5" t="n">
        <v>12.7</v>
      </c>
      <c r="I58" s="5" t="n">
        <v>1.9</v>
      </c>
      <c r="J58" s="5" t="n">
        <v>262.1</v>
      </c>
      <c r="K58" s="5" t="n">
        <v>11</v>
      </c>
    </row>
    <row r="59" customFormat="false" ht="15" hidden="false" customHeight="false" outlineLevel="0" collapsed="false">
      <c r="A59" s="5" t="n">
        <v>185</v>
      </c>
      <c r="B59" s="5" t="n">
        <v>50</v>
      </c>
      <c r="C59" s="5" t="n">
        <v>33.2</v>
      </c>
      <c r="D59" s="5" t="n">
        <v>15.1</v>
      </c>
      <c r="E59" s="5" t="n">
        <v>7.4</v>
      </c>
      <c r="F59" s="5" t="n">
        <v>0</v>
      </c>
      <c r="G59" s="5" t="n">
        <v>11.4</v>
      </c>
      <c r="H59" s="5" t="n">
        <v>11.4</v>
      </c>
      <c r="I59" s="5" t="n">
        <v>1.9</v>
      </c>
      <c r="J59" s="5" t="n">
        <v>303.5</v>
      </c>
      <c r="K59" s="5" t="n">
        <v>11</v>
      </c>
    </row>
    <row r="60" customFormat="false" ht="15" hidden="false" customHeight="false" outlineLevel="0" collapsed="false">
      <c r="A60" s="5" t="n">
        <v>190</v>
      </c>
      <c r="B60" s="5" t="n">
        <v>50</v>
      </c>
      <c r="C60" s="5" t="n">
        <v>46</v>
      </c>
      <c r="D60" s="5" t="n">
        <v>14.3</v>
      </c>
      <c r="E60" s="5" t="n">
        <v>7</v>
      </c>
      <c r="F60" s="5" t="n">
        <v>0</v>
      </c>
      <c r="G60" s="5" t="n">
        <v>7.1</v>
      </c>
      <c r="H60" s="5" t="n">
        <v>6.8</v>
      </c>
      <c r="I60" s="5" t="n">
        <v>2.1</v>
      </c>
      <c r="J60" s="5" t="n">
        <v>49.2</v>
      </c>
      <c r="K60" s="5" t="n">
        <v>11</v>
      </c>
    </row>
    <row r="61" customFormat="false" ht="15" hidden="false" customHeight="false" outlineLevel="0" collapsed="false">
      <c r="A61" s="5" t="n">
        <v>195</v>
      </c>
      <c r="B61" s="5" t="n">
        <v>50</v>
      </c>
      <c r="C61" s="5" t="n">
        <v>31.4</v>
      </c>
      <c r="D61" s="5" t="n">
        <v>15.4</v>
      </c>
      <c r="E61" s="5" t="n">
        <v>7.8</v>
      </c>
      <c r="F61" s="5" t="n">
        <v>0</v>
      </c>
      <c r="G61" s="5" t="n">
        <v>11.8</v>
      </c>
      <c r="H61" s="5" t="n">
        <v>12.4</v>
      </c>
      <c r="I61" s="5" t="n">
        <v>4</v>
      </c>
      <c r="J61" s="5" t="n">
        <v>85.2</v>
      </c>
      <c r="K61" s="5" t="n">
        <v>11</v>
      </c>
    </row>
    <row r="62" customFormat="false" ht="15" hidden="false" customHeight="false" outlineLevel="0" collapsed="false">
      <c r="A62" s="5" t="n">
        <v>200</v>
      </c>
      <c r="B62" s="5" t="n">
        <v>50</v>
      </c>
      <c r="C62" s="5" t="n">
        <v>32.2</v>
      </c>
      <c r="D62" s="5" t="n">
        <v>14.3</v>
      </c>
      <c r="E62" s="5" t="n">
        <v>7.1</v>
      </c>
      <c r="F62" s="5" t="n">
        <v>0</v>
      </c>
      <c r="G62" s="5" t="n">
        <v>11.2</v>
      </c>
      <c r="H62" s="5" t="n">
        <v>11.8</v>
      </c>
      <c r="I62" s="5" t="n">
        <v>1.8</v>
      </c>
      <c r="J62" s="5" t="n">
        <v>117.6</v>
      </c>
      <c r="K62" s="5" t="n">
        <v>11</v>
      </c>
    </row>
    <row r="63" customFormat="false" ht="15" hidden="false" customHeight="false" outlineLevel="0" collapsed="false">
      <c r="A63" s="5" t="n">
        <v>205</v>
      </c>
      <c r="B63" s="5" t="n">
        <v>50</v>
      </c>
      <c r="C63" s="5" t="n">
        <v>33.2</v>
      </c>
      <c r="D63" s="5" t="n">
        <v>14.9</v>
      </c>
      <c r="E63" s="5" t="n">
        <v>7.2</v>
      </c>
      <c r="F63" s="5" t="n">
        <v>0</v>
      </c>
      <c r="G63" s="5" t="n">
        <v>11.6</v>
      </c>
      <c r="H63" s="5" t="n">
        <v>12</v>
      </c>
      <c r="I63" s="5" t="n">
        <v>2.2</v>
      </c>
      <c r="J63" s="5" t="n">
        <v>151</v>
      </c>
      <c r="K63" s="5" t="n">
        <v>11</v>
      </c>
    </row>
    <row r="64" customFormat="false" ht="15" hidden="false" customHeight="false" outlineLevel="0" collapsed="false">
      <c r="A64" s="5" t="n">
        <v>210</v>
      </c>
      <c r="B64" s="5" t="n">
        <v>50</v>
      </c>
      <c r="C64" s="5" t="n">
        <v>33.4</v>
      </c>
      <c r="D64" s="5" t="n">
        <v>16.7</v>
      </c>
      <c r="E64" s="5" t="n">
        <v>8</v>
      </c>
      <c r="F64" s="5" t="n">
        <v>0</v>
      </c>
      <c r="G64" s="5" t="n">
        <v>12.8</v>
      </c>
      <c r="H64" s="5" t="n">
        <v>13.9</v>
      </c>
      <c r="I64" s="5" t="n">
        <v>2.1</v>
      </c>
      <c r="J64" s="5" t="n">
        <v>186.8</v>
      </c>
      <c r="K64" s="5" t="n">
        <v>11</v>
      </c>
    </row>
    <row r="65" customFormat="false" ht="15" hidden="false" customHeight="false" outlineLevel="0" collapsed="false">
      <c r="A65" s="5" t="n">
        <v>215</v>
      </c>
      <c r="B65" s="5" t="n">
        <v>50</v>
      </c>
      <c r="C65" s="5" t="n">
        <v>34.6</v>
      </c>
      <c r="D65" s="5" t="n">
        <v>16</v>
      </c>
      <c r="E65" s="5" t="n">
        <v>7.8</v>
      </c>
      <c r="F65" s="5" t="n">
        <v>0</v>
      </c>
      <c r="G65" s="5" t="n">
        <v>12.2</v>
      </c>
      <c r="H65" s="5" t="n">
        <v>13.1</v>
      </c>
      <c r="I65" s="5" t="n">
        <v>2.1</v>
      </c>
      <c r="J65" s="5" t="n">
        <v>220.4</v>
      </c>
      <c r="K65" s="5" t="n">
        <v>11</v>
      </c>
    </row>
    <row r="66" customFormat="false" ht="15" hidden="false" customHeight="false" outlineLevel="0" collapsed="false">
      <c r="A66" s="5" t="n">
        <v>220</v>
      </c>
      <c r="B66" s="5" t="n">
        <v>50</v>
      </c>
      <c r="C66" s="5" t="n">
        <v>44</v>
      </c>
      <c r="D66" s="5" t="n">
        <v>15.5</v>
      </c>
      <c r="E66" s="5" t="n">
        <v>7.5</v>
      </c>
      <c r="F66" s="5" t="n">
        <v>0</v>
      </c>
      <c r="G66" s="5" t="n">
        <v>8.9</v>
      </c>
      <c r="H66" s="5" t="n">
        <v>8.6</v>
      </c>
      <c r="I66" s="5" t="n">
        <v>1.9</v>
      </c>
      <c r="J66" s="5" t="n">
        <v>257.7</v>
      </c>
      <c r="K66" s="5" t="n">
        <v>11</v>
      </c>
    </row>
    <row r="67" customFormat="false" ht="15" hidden="false" customHeight="false" outlineLevel="0" collapsed="false">
      <c r="A67" s="5" t="n">
        <v>225</v>
      </c>
      <c r="B67" s="5" t="n">
        <v>50</v>
      </c>
      <c r="C67" s="5" t="n">
        <v>30</v>
      </c>
      <c r="D67" s="5" t="n">
        <v>15.6</v>
      </c>
      <c r="E67" s="5" t="n">
        <v>7.1</v>
      </c>
      <c r="F67" s="5" t="n">
        <v>0</v>
      </c>
      <c r="G67" s="5" t="n">
        <v>10.4</v>
      </c>
      <c r="H67" s="5" t="n">
        <v>11.2</v>
      </c>
      <c r="I67" s="5" t="n">
        <v>1.8</v>
      </c>
      <c r="J67" s="5" t="n">
        <v>295.2</v>
      </c>
      <c r="K67" s="5" t="n">
        <v>11</v>
      </c>
    </row>
    <row r="68" customFormat="false" ht="15" hidden="false" customHeight="false" outlineLevel="0" collapsed="false">
      <c r="A68" s="5" t="n">
        <v>230</v>
      </c>
      <c r="B68" s="5" t="n">
        <v>46</v>
      </c>
      <c r="C68" s="5" t="n">
        <v>29</v>
      </c>
      <c r="D68" s="5" t="n">
        <v>15.1</v>
      </c>
      <c r="E68" s="5" t="n">
        <v>7.8</v>
      </c>
      <c r="F68" s="5" t="n">
        <v>0</v>
      </c>
      <c r="G68" s="5" t="n">
        <v>12.4</v>
      </c>
      <c r="H68" s="5" t="n">
        <v>11.4</v>
      </c>
      <c r="I68" s="5" t="n">
        <v>1.8</v>
      </c>
      <c r="J68" s="5" t="n">
        <v>95.4</v>
      </c>
      <c r="K68" s="5" t="n">
        <v>11</v>
      </c>
    </row>
    <row r="69" customFormat="false" ht="15" hidden="false" customHeight="false" outlineLevel="0" collapsed="false">
      <c r="A69" s="5" t="n">
        <v>235</v>
      </c>
      <c r="B69" s="5" t="n">
        <v>39</v>
      </c>
      <c r="C69" s="5" t="n">
        <v>22.6</v>
      </c>
      <c r="D69" s="5" t="n">
        <v>14.6</v>
      </c>
      <c r="E69" s="5" t="n">
        <v>6.9</v>
      </c>
      <c r="F69" s="5" t="n">
        <v>0</v>
      </c>
      <c r="G69" s="5" t="n">
        <v>7.7</v>
      </c>
      <c r="H69" s="5" t="n">
        <v>8</v>
      </c>
      <c r="I69" s="5" t="n">
        <v>1.3</v>
      </c>
      <c r="J69" s="5" t="n">
        <v>64.5</v>
      </c>
      <c r="K69" s="5" t="n">
        <v>11</v>
      </c>
    </row>
    <row r="70" customFormat="false" ht="15" hidden="false" customHeight="false" outlineLevel="0" collapsed="false">
      <c r="A70" s="5" t="n">
        <v>240</v>
      </c>
      <c r="B70" s="5" t="n">
        <v>29</v>
      </c>
      <c r="C70" s="5" t="n">
        <v>17.4</v>
      </c>
      <c r="D70" s="5" t="n">
        <v>15.1</v>
      </c>
      <c r="E70" s="5" t="n">
        <v>7.8</v>
      </c>
      <c r="F70" s="5" t="n">
        <v>0</v>
      </c>
      <c r="G70" s="5" t="n">
        <v>6.7</v>
      </c>
      <c r="H70" s="5" t="n">
        <v>7.3</v>
      </c>
      <c r="I70" s="5" t="n">
        <v>1.2</v>
      </c>
      <c r="J70" s="5" t="n">
        <v>87.9</v>
      </c>
      <c r="K70" s="5" t="n">
        <v>11</v>
      </c>
    </row>
    <row r="71" customFormat="false" ht="15" hidden="false" customHeight="false" outlineLevel="0" collapsed="false">
      <c r="A71" s="5" t="n">
        <v>245</v>
      </c>
      <c r="B71" s="5" t="n">
        <v>21</v>
      </c>
      <c r="C71" s="5" t="n">
        <v>12.2</v>
      </c>
      <c r="D71" s="5" t="n">
        <v>14.4</v>
      </c>
      <c r="E71" s="5" t="n">
        <v>7.6</v>
      </c>
      <c r="F71" s="5" t="n">
        <v>0</v>
      </c>
      <c r="G71" s="5" t="n">
        <v>4.9</v>
      </c>
      <c r="H71" s="5" t="n">
        <v>5.7</v>
      </c>
      <c r="I71" s="5" t="n">
        <v>0.9</v>
      </c>
      <c r="J71" s="5" t="n">
        <v>103.5</v>
      </c>
      <c r="K71" s="5" t="n">
        <v>11</v>
      </c>
    </row>
    <row r="72" customFormat="false" ht="15" hidden="false" customHeight="false" outlineLevel="0" collapsed="false">
      <c r="A72" s="5" t="n">
        <v>250</v>
      </c>
      <c r="B72" s="5" t="n">
        <v>11</v>
      </c>
      <c r="C72" s="5" t="n">
        <v>6.8</v>
      </c>
      <c r="D72" s="5" t="n">
        <v>14.9</v>
      </c>
      <c r="E72" s="5" t="n">
        <v>7.9</v>
      </c>
      <c r="F72" s="5" t="n">
        <v>0</v>
      </c>
      <c r="G72" s="5" t="n">
        <v>2</v>
      </c>
      <c r="H72" s="5" t="n">
        <v>2.7</v>
      </c>
      <c r="I72" s="5" t="n">
        <v>0.9</v>
      </c>
      <c r="J72" s="5" t="n">
        <v>113.5</v>
      </c>
      <c r="K72" s="5" t="n">
        <v>11</v>
      </c>
    </row>
    <row r="73" customFormat="false" ht="15" hidden="false" customHeight="false" outlineLevel="0" collapsed="false">
      <c r="A73" s="5" t="n">
        <v>255</v>
      </c>
      <c r="B73" s="5" t="n">
        <v>1</v>
      </c>
      <c r="C73" s="5" t="n">
        <v>0.2</v>
      </c>
      <c r="D73" s="5" t="n">
        <v>5.9</v>
      </c>
      <c r="E73" s="5" t="n">
        <v>5.9</v>
      </c>
      <c r="F73" s="5" t="n">
        <v>0</v>
      </c>
      <c r="G73" s="5" t="n">
        <v>0.7</v>
      </c>
      <c r="H73" s="5" t="n">
        <v>1.7</v>
      </c>
      <c r="I73" s="5" t="n">
        <v>0.3</v>
      </c>
      <c r="J73" s="5" t="n">
        <v>117.3</v>
      </c>
      <c r="K73" s="5" t="n">
        <v>11</v>
      </c>
    </row>
    <row r="76" customFormat="false" ht="15" hidden="false" customHeight="false" outlineLevel="0" collapsed="false">
      <c r="A76" s="3" t="s">
        <v>34</v>
      </c>
    </row>
    <row r="77" customFormat="false" ht="30" hidden="false" customHeight="true" outlineLevel="0" collapsed="false">
      <c r="A77" s="4" t="s">
        <v>831</v>
      </c>
      <c r="B77" s="4" t="s">
        <v>832</v>
      </c>
      <c r="C77" s="4" t="s">
        <v>833</v>
      </c>
      <c r="D77" s="4" t="s">
        <v>29</v>
      </c>
      <c r="E77" s="4" t="s">
        <v>655</v>
      </c>
      <c r="F77" s="4" t="s">
        <v>534</v>
      </c>
      <c r="G77" s="4" t="s">
        <v>821</v>
      </c>
      <c r="H77" s="4" t="s">
        <v>834</v>
      </c>
      <c r="I77" s="4" t="s">
        <v>835</v>
      </c>
      <c r="J77" s="4" t="s">
        <v>836</v>
      </c>
      <c r="K77" s="4" t="s">
        <v>837</v>
      </c>
    </row>
    <row r="78" customFormat="false" ht="15" hidden="false" customHeight="false" outlineLevel="0" collapsed="false">
      <c r="A78" s="5" t="n">
        <v>0</v>
      </c>
      <c r="B78" s="5" t="n">
        <v>7</v>
      </c>
      <c r="C78" s="5" t="n">
        <v>7.2</v>
      </c>
      <c r="D78" s="5" t="n">
        <v>48.7</v>
      </c>
      <c r="E78" s="5" t="n">
        <v>13.3</v>
      </c>
      <c r="F78" s="5" t="n">
        <v>0</v>
      </c>
      <c r="G78" s="5" t="n">
        <v>28.6</v>
      </c>
      <c r="H78" s="5" t="n">
        <v>4.9</v>
      </c>
      <c r="I78" s="5" t="n">
        <v>2.5</v>
      </c>
      <c r="J78" s="5" t="n">
        <v>138.9</v>
      </c>
      <c r="K78" s="5" t="n">
        <v>11</v>
      </c>
    </row>
    <row r="79" customFormat="false" ht="15" hidden="false" customHeight="false" outlineLevel="0" collapsed="false">
      <c r="A79" s="5" t="n">
        <v>5</v>
      </c>
      <c r="B79" s="5" t="n">
        <v>16</v>
      </c>
      <c r="C79" s="5" t="n">
        <v>12.2</v>
      </c>
      <c r="D79" s="5" t="n">
        <v>57.3</v>
      </c>
      <c r="E79" s="5" t="n">
        <v>13.8</v>
      </c>
      <c r="F79" s="5" t="n">
        <v>0</v>
      </c>
      <c r="G79" s="5" t="n">
        <v>33.6</v>
      </c>
      <c r="H79" s="5" t="n">
        <v>5.3</v>
      </c>
      <c r="I79" s="5" t="n">
        <v>3</v>
      </c>
      <c r="J79" s="5" t="n">
        <v>152.9</v>
      </c>
      <c r="K79" s="5" t="n">
        <v>11</v>
      </c>
    </row>
    <row r="80" customFormat="false" ht="15" hidden="false" customHeight="false" outlineLevel="0" collapsed="false">
      <c r="A80" s="5" t="n">
        <v>10</v>
      </c>
      <c r="B80" s="5" t="n">
        <v>23</v>
      </c>
      <c r="C80" s="5" t="n">
        <v>17.6</v>
      </c>
      <c r="D80" s="5" t="n">
        <v>30.1</v>
      </c>
      <c r="E80" s="5" t="n">
        <v>10.4</v>
      </c>
      <c r="F80" s="5" t="n">
        <v>0</v>
      </c>
      <c r="G80" s="5" t="n">
        <v>45.1</v>
      </c>
      <c r="H80" s="5" t="n">
        <v>7.4</v>
      </c>
      <c r="I80" s="5" t="n">
        <v>4.2</v>
      </c>
      <c r="J80" s="5" t="n">
        <v>174.9</v>
      </c>
      <c r="K80" s="5" t="n">
        <v>11</v>
      </c>
    </row>
    <row r="81" customFormat="false" ht="15" hidden="false" customHeight="false" outlineLevel="0" collapsed="false">
      <c r="A81" s="5" t="n">
        <v>15</v>
      </c>
      <c r="B81" s="5" t="n">
        <v>32</v>
      </c>
      <c r="C81" s="5" t="n">
        <v>23.6</v>
      </c>
      <c r="D81" s="5" t="n">
        <v>21.4</v>
      </c>
      <c r="E81" s="5" t="n">
        <v>12.7</v>
      </c>
      <c r="F81" s="5" t="n">
        <v>0</v>
      </c>
      <c r="G81" s="5" t="n">
        <v>28.6</v>
      </c>
      <c r="H81" s="5" t="n">
        <v>8.6</v>
      </c>
      <c r="I81" s="5" t="n">
        <v>3.7</v>
      </c>
      <c r="J81" s="5" t="n">
        <v>210.3</v>
      </c>
      <c r="K81" s="5" t="n">
        <v>11</v>
      </c>
    </row>
    <row r="82" customFormat="false" ht="15" hidden="false" customHeight="false" outlineLevel="0" collapsed="false">
      <c r="A82" s="5" t="n">
        <v>20</v>
      </c>
      <c r="B82" s="5" t="n">
        <v>41</v>
      </c>
      <c r="C82" s="5" t="n">
        <v>27.4</v>
      </c>
      <c r="D82" s="5" t="n">
        <v>31.9</v>
      </c>
      <c r="E82" s="5" t="n">
        <v>12.6</v>
      </c>
      <c r="F82" s="5" t="n">
        <v>0</v>
      </c>
      <c r="G82" s="5" t="n">
        <v>23.4</v>
      </c>
      <c r="H82" s="5" t="n">
        <v>11.6</v>
      </c>
      <c r="I82" s="5" t="n">
        <v>3.4</v>
      </c>
      <c r="J82" s="5" t="n">
        <v>246.5</v>
      </c>
      <c r="K82" s="5" t="n">
        <v>11</v>
      </c>
    </row>
    <row r="83" customFormat="false" ht="15" hidden="false" customHeight="false" outlineLevel="0" collapsed="false">
      <c r="A83" s="5" t="n">
        <v>25</v>
      </c>
      <c r="B83" s="5" t="n">
        <v>48</v>
      </c>
      <c r="C83" s="5" t="n">
        <v>36.8</v>
      </c>
      <c r="D83" s="5" t="n">
        <v>19.4</v>
      </c>
      <c r="E83" s="5" t="n">
        <v>9.9</v>
      </c>
      <c r="F83" s="5" t="n">
        <v>0</v>
      </c>
      <c r="G83" s="5" t="n">
        <v>23.2</v>
      </c>
      <c r="H83" s="5" t="n">
        <v>13.6</v>
      </c>
      <c r="I83" s="5" t="n">
        <v>3.9</v>
      </c>
      <c r="J83" s="5" t="n">
        <v>297.9</v>
      </c>
      <c r="K83" s="5" t="n">
        <v>11</v>
      </c>
    </row>
    <row r="84" customFormat="false" ht="15" hidden="false" customHeight="false" outlineLevel="0" collapsed="false">
      <c r="A84" s="5" t="n">
        <v>30</v>
      </c>
      <c r="B84" s="5" t="n">
        <v>58</v>
      </c>
      <c r="C84" s="5" t="n">
        <v>54.4</v>
      </c>
      <c r="D84" s="5" t="n">
        <v>18.9</v>
      </c>
      <c r="E84" s="5" t="n">
        <v>10.1</v>
      </c>
      <c r="F84" s="5" t="n">
        <v>0</v>
      </c>
      <c r="G84" s="5" t="n">
        <v>25.7</v>
      </c>
      <c r="H84" s="5" t="n">
        <v>9.4</v>
      </c>
      <c r="I84" s="5" t="n">
        <v>3.7</v>
      </c>
      <c r="J84" s="5" t="n">
        <v>71.2</v>
      </c>
      <c r="K84" s="5" t="n">
        <v>11</v>
      </c>
    </row>
    <row r="85" customFormat="false" ht="15" hidden="false" customHeight="false" outlineLevel="0" collapsed="false">
      <c r="A85" s="5" t="n">
        <v>35</v>
      </c>
      <c r="B85" s="5" t="n">
        <v>66</v>
      </c>
      <c r="C85" s="5" t="n">
        <v>44.6</v>
      </c>
      <c r="D85" s="5" t="n">
        <v>18.1</v>
      </c>
      <c r="E85" s="5" t="n">
        <v>9.7</v>
      </c>
      <c r="F85" s="5" t="n">
        <v>0</v>
      </c>
      <c r="G85" s="5" t="n">
        <v>29.2</v>
      </c>
      <c r="H85" s="5" t="n">
        <v>16.7</v>
      </c>
      <c r="I85" s="5" t="n">
        <v>4.2</v>
      </c>
      <c r="J85" s="5" t="n">
        <v>140</v>
      </c>
      <c r="K85" s="5" t="n">
        <v>11</v>
      </c>
    </row>
    <row r="86" customFormat="false" ht="15" hidden="false" customHeight="false" outlineLevel="0" collapsed="false">
      <c r="A86" s="5" t="n">
        <v>40</v>
      </c>
      <c r="B86" s="5" t="n">
        <v>75</v>
      </c>
      <c r="C86" s="5" t="n">
        <v>49.6</v>
      </c>
      <c r="D86" s="5" t="n">
        <v>18.5</v>
      </c>
      <c r="E86" s="5" t="n">
        <v>10.5</v>
      </c>
      <c r="F86" s="5" t="n">
        <v>0</v>
      </c>
      <c r="G86" s="5" t="n">
        <v>37.5</v>
      </c>
      <c r="H86" s="5" t="n">
        <v>18.3</v>
      </c>
      <c r="I86" s="5" t="n">
        <v>5.1</v>
      </c>
      <c r="J86" s="5" t="n">
        <v>211.2</v>
      </c>
      <c r="K86" s="5" t="n">
        <v>11</v>
      </c>
    </row>
    <row r="87" customFormat="false" ht="15" hidden="false" customHeight="false" outlineLevel="0" collapsed="false">
      <c r="A87" s="5" t="n">
        <v>45</v>
      </c>
      <c r="B87" s="5" t="n">
        <v>82</v>
      </c>
      <c r="C87" s="5" t="n">
        <v>56.2</v>
      </c>
      <c r="D87" s="5" t="n">
        <v>24.7</v>
      </c>
      <c r="E87" s="5" t="n">
        <v>10.8</v>
      </c>
      <c r="F87" s="5" t="n">
        <v>0</v>
      </c>
      <c r="G87" s="5" t="n">
        <v>42.9</v>
      </c>
      <c r="H87" s="5" t="n">
        <v>21.4</v>
      </c>
      <c r="I87" s="5" t="n">
        <v>5.7</v>
      </c>
      <c r="J87" s="5" t="n">
        <v>231.5</v>
      </c>
      <c r="K87" s="5" t="n">
        <v>11</v>
      </c>
    </row>
    <row r="88" customFormat="false" ht="15" hidden="false" customHeight="false" outlineLevel="0" collapsed="false">
      <c r="A88" s="5" t="n">
        <v>50</v>
      </c>
      <c r="B88" s="5" t="n">
        <v>91</v>
      </c>
      <c r="C88" s="5" t="n">
        <v>61.2</v>
      </c>
      <c r="D88" s="5" t="n">
        <v>17.9</v>
      </c>
      <c r="E88" s="5" t="n">
        <v>9.7</v>
      </c>
      <c r="F88" s="5" t="n">
        <v>0</v>
      </c>
      <c r="G88" s="5" t="n">
        <v>36.1</v>
      </c>
      <c r="H88" s="5" t="n">
        <v>23</v>
      </c>
      <c r="I88" s="5" t="n">
        <v>5.6</v>
      </c>
      <c r="J88" s="5" t="n">
        <v>85.7</v>
      </c>
      <c r="K88" s="5" t="n">
        <v>11</v>
      </c>
    </row>
    <row r="89" customFormat="false" ht="15" hidden="false" customHeight="false" outlineLevel="0" collapsed="false">
      <c r="A89" s="5" t="n">
        <v>55</v>
      </c>
      <c r="B89" s="5" t="n">
        <v>100</v>
      </c>
      <c r="C89" s="5" t="n">
        <v>68</v>
      </c>
      <c r="D89" s="5" t="n">
        <v>16.1</v>
      </c>
      <c r="E89" s="5" t="n">
        <v>8.9</v>
      </c>
      <c r="F89" s="5" t="n">
        <v>0</v>
      </c>
      <c r="G89" s="5" t="n">
        <v>51.9</v>
      </c>
      <c r="H89" s="5" t="n">
        <v>22.2</v>
      </c>
      <c r="I89" s="5" t="n">
        <v>5.9</v>
      </c>
      <c r="J89" s="5" t="n">
        <v>182.1</v>
      </c>
      <c r="K89" s="5" t="n">
        <v>11</v>
      </c>
    </row>
    <row r="90" customFormat="false" ht="15" hidden="false" customHeight="false" outlineLevel="0" collapsed="false">
      <c r="A90" s="5" t="n">
        <v>60</v>
      </c>
      <c r="B90" s="5" t="n">
        <v>100</v>
      </c>
      <c r="C90" s="5" t="n">
        <v>82.8</v>
      </c>
      <c r="D90" s="5" t="n">
        <v>16.3</v>
      </c>
      <c r="E90" s="5" t="n">
        <v>8.5</v>
      </c>
      <c r="F90" s="5" t="n">
        <v>0</v>
      </c>
      <c r="G90" s="5" t="n">
        <v>19.8</v>
      </c>
      <c r="H90" s="5" t="n">
        <v>13</v>
      </c>
      <c r="I90" s="5" t="n">
        <v>5</v>
      </c>
      <c r="J90" s="5" t="n">
        <v>240.2</v>
      </c>
      <c r="K90" s="5" t="n">
        <v>11</v>
      </c>
    </row>
    <row r="91" customFormat="false" ht="15" hidden="false" customHeight="false" outlineLevel="0" collapsed="false">
      <c r="A91" s="5" t="n">
        <v>65</v>
      </c>
      <c r="B91" s="5" t="n">
        <v>100</v>
      </c>
      <c r="C91" s="5" t="n">
        <v>57.2</v>
      </c>
      <c r="D91" s="5" t="n">
        <v>16.4</v>
      </c>
      <c r="E91" s="5" t="n">
        <v>8.3</v>
      </c>
      <c r="F91" s="5" t="n">
        <v>0</v>
      </c>
      <c r="G91" s="5" t="n">
        <v>33.2</v>
      </c>
      <c r="H91" s="5" t="n">
        <v>22.2</v>
      </c>
      <c r="I91" s="5" t="n">
        <v>4.7</v>
      </c>
      <c r="J91" s="5" t="n">
        <v>110.1</v>
      </c>
      <c r="K91" s="5" t="n">
        <v>11</v>
      </c>
    </row>
    <row r="92" customFormat="false" ht="15" hidden="false" customHeight="false" outlineLevel="0" collapsed="false">
      <c r="A92" s="5" t="n">
        <v>70</v>
      </c>
      <c r="B92" s="5" t="n">
        <v>100</v>
      </c>
      <c r="C92" s="5" t="n">
        <v>62.4</v>
      </c>
      <c r="D92" s="5" t="n">
        <v>16.8</v>
      </c>
      <c r="E92" s="5" t="n">
        <v>8.4</v>
      </c>
      <c r="F92" s="5" t="n">
        <v>0</v>
      </c>
      <c r="G92" s="5" t="n">
        <v>33.2</v>
      </c>
      <c r="H92" s="5" t="n">
        <v>23</v>
      </c>
      <c r="I92" s="5" t="n">
        <v>4.6</v>
      </c>
      <c r="J92" s="5" t="n">
        <v>219.3</v>
      </c>
      <c r="K92" s="5" t="n">
        <v>11</v>
      </c>
    </row>
    <row r="93" customFormat="false" ht="15" hidden="false" customHeight="false" outlineLevel="0" collapsed="false">
      <c r="A93" s="5" t="n">
        <v>75</v>
      </c>
      <c r="B93" s="5" t="n">
        <v>100</v>
      </c>
      <c r="C93" s="5" t="n">
        <v>62.8</v>
      </c>
      <c r="D93" s="5" t="n">
        <v>17</v>
      </c>
      <c r="E93" s="5" t="n">
        <v>8</v>
      </c>
      <c r="F93" s="5" t="n">
        <v>0</v>
      </c>
      <c r="G93" s="5" t="n">
        <v>28.5</v>
      </c>
      <c r="H93" s="5" t="n">
        <v>22.2</v>
      </c>
      <c r="I93" s="5" t="n">
        <v>4.7</v>
      </c>
      <c r="J93" s="5" t="n">
        <v>147.7</v>
      </c>
      <c r="K93" s="5" t="n">
        <v>11</v>
      </c>
    </row>
    <row r="94" customFormat="false" ht="15" hidden="false" customHeight="false" outlineLevel="0" collapsed="false">
      <c r="A94" s="5" t="n">
        <v>80</v>
      </c>
      <c r="B94" s="5" t="n">
        <v>100</v>
      </c>
      <c r="C94" s="5" t="n">
        <v>63.2</v>
      </c>
      <c r="D94" s="5" t="n">
        <v>17.2</v>
      </c>
      <c r="E94" s="5" t="n">
        <v>8.6</v>
      </c>
      <c r="F94" s="5" t="n">
        <v>0</v>
      </c>
      <c r="G94" s="5" t="n">
        <v>30.3</v>
      </c>
      <c r="H94" s="5" t="n">
        <v>23.6</v>
      </c>
      <c r="I94" s="5" t="n">
        <v>4.8</v>
      </c>
      <c r="J94" s="5" t="n">
        <v>130.6</v>
      </c>
      <c r="K94" s="5" t="n">
        <v>11</v>
      </c>
    </row>
    <row r="95" customFormat="false" ht="15" hidden="false" customHeight="false" outlineLevel="0" collapsed="false">
      <c r="A95" s="5" t="n">
        <v>85</v>
      </c>
      <c r="B95" s="5" t="n">
        <v>100</v>
      </c>
      <c r="C95" s="5" t="n">
        <v>66.4</v>
      </c>
      <c r="D95" s="5" t="n">
        <v>16.6</v>
      </c>
      <c r="E95" s="5" t="n">
        <v>8.3</v>
      </c>
      <c r="F95" s="5" t="n">
        <v>0</v>
      </c>
      <c r="G95" s="5" t="n">
        <v>34.6</v>
      </c>
      <c r="H95" s="5" t="n">
        <v>24.2</v>
      </c>
      <c r="I95" s="5" t="n">
        <v>4.9</v>
      </c>
      <c r="J95" s="5" t="n">
        <v>226.8</v>
      </c>
      <c r="K95" s="5" t="n">
        <v>11</v>
      </c>
    </row>
    <row r="96" customFormat="false" ht="15" hidden="false" customHeight="false" outlineLevel="0" collapsed="false">
      <c r="A96" s="5" t="n">
        <v>90</v>
      </c>
      <c r="B96" s="5" t="n">
        <v>100</v>
      </c>
      <c r="C96" s="5" t="n">
        <v>86.8</v>
      </c>
      <c r="D96" s="5" t="n">
        <v>16.6</v>
      </c>
      <c r="E96" s="5" t="n">
        <v>8.5</v>
      </c>
      <c r="F96" s="5" t="n">
        <v>0</v>
      </c>
      <c r="G96" s="5" t="n">
        <v>5.8</v>
      </c>
      <c r="H96" s="5" t="n">
        <v>12</v>
      </c>
      <c r="I96" s="5" t="n">
        <v>5.3</v>
      </c>
      <c r="J96" s="5" t="n">
        <v>146.4</v>
      </c>
      <c r="K96" s="5" t="n">
        <v>11</v>
      </c>
    </row>
    <row r="97" customFormat="false" ht="15" hidden="false" customHeight="false" outlineLevel="0" collapsed="false">
      <c r="A97" s="5" t="n">
        <v>95</v>
      </c>
      <c r="B97" s="5" t="n">
        <v>100</v>
      </c>
      <c r="C97" s="5" t="n">
        <v>59.2</v>
      </c>
      <c r="D97" s="5" t="n">
        <v>17.3</v>
      </c>
      <c r="E97" s="5" t="n">
        <v>9.1</v>
      </c>
      <c r="F97" s="5" t="n">
        <v>0</v>
      </c>
      <c r="G97" s="5" t="n">
        <v>30.9</v>
      </c>
      <c r="H97" s="5" t="n">
        <v>23.8</v>
      </c>
      <c r="I97" s="5" t="n">
        <v>5</v>
      </c>
      <c r="J97" s="5" t="n">
        <v>168.1</v>
      </c>
      <c r="K97" s="5" t="n">
        <v>11</v>
      </c>
    </row>
    <row r="98" customFormat="false" ht="15" hidden="false" customHeight="false" outlineLevel="0" collapsed="false">
      <c r="A98" s="5" t="n">
        <v>100</v>
      </c>
      <c r="B98" s="5" t="n">
        <v>100</v>
      </c>
      <c r="C98" s="5" t="n">
        <v>66.2</v>
      </c>
      <c r="D98" s="5" t="n">
        <v>17.1</v>
      </c>
      <c r="E98" s="5" t="n">
        <v>8.7</v>
      </c>
      <c r="F98" s="5" t="n">
        <v>0</v>
      </c>
      <c r="G98" s="5" t="n">
        <v>29.1</v>
      </c>
      <c r="H98" s="5" t="n">
        <v>25.1</v>
      </c>
      <c r="I98" s="5" t="n">
        <v>4.9</v>
      </c>
      <c r="J98" s="5" t="n">
        <v>271.5</v>
      </c>
      <c r="K98" s="5" t="n">
        <v>11</v>
      </c>
    </row>
    <row r="99" customFormat="false" ht="15" hidden="false" customHeight="false" outlineLevel="0" collapsed="false">
      <c r="A99" s="5" t="n">
        <v>105</v>
      </c>
      <c r="B99" s="5" t="n">
        <v>100</v>
      </c>
      <c r="C99" s="5" t="n">
        <v>64.4</v>
      </c>
      <c r="D99" s="5" t="n">
        <v>17.7</v>
      </c>
      <c r="E99" s="5" t="n">
        <v>9.2</v>
      </c>
      <c r="F99" s="5" t="n">
        <v>0</v>
      </c>
      <c r="G99" s="5" t="n">
        <v>39.6</v>
      </c>
      <c r="H99" s="5" t="n">
        <v>24.5</v>
      </c>
      <c r="I99" s="5" t="n">
        <v>6</v>
      </c>
      <c r="J99" s="5" t="n">
        <v>82.8</v>
      </c>
      <c r="K99" s="5" t="n">
        <v>11</v>
      </c>
    </row>
    <row r="100" customFormat="false" ht="15" hidden="false" customHeight="false" outlineLevel="0" collapsed="false">
      <c r="A100" s="5" t="n">
        <v>110</v>
      </c>
      <c r="B100" s="5" t="n">
        <v>100</v>
      </c>
      <c r="C100" s="5" t="n">
        <v>60.6</v>
      </c>
      <c r="D100" s="5" t="n">
        <v>17</v>
      </c>
      <c r="E100" s="5" t="n">
        <v>8.5</v>
      </c>
      <c r="F100" s="5" t="n">
        <v>0</v>
      </c>
      <c r="G100" s="5" t="n">
        <v>25.4</v>
      </c>
      <c r="H100" s="5" t="n">
        <v>24.5</v>
      </c>
      <c r="I100" s="5" t="n">
        <v>4.1</v>
      </c>
      <c r="J100" s="5" t="n">
        <v>183.4</v>
      </c>
      <c r="K100" s="5" t="n">
        <v>11</v>
      </c>
    </row>
    <row r="101" customFormat="false" ht="15" hidden="false" customHeight="false" outlineLevel="0" collapsed="false">
      <c r="A101" s="5" t="n">
        <v>115</v>
      </c>
      <c r="B101" s="5" t="n">
        <v>100</v>
      </c>
      <c r="C101" s="5" t="n">
        <v>64.4</v>
      </c>
      <c r="D101" s="5" t="n">
        <v>18.2</v>
      </c>
      <c r="E101" s="5" t="n">
        <v>9.2</v>
      </c>
      <c r="F101" s="5" t="n">
        <v>0</v>
      </c>
      <c r="G101" s="5" t="n">
        <v>30.3</v>
      </c>
      <c r="H101" s="5" t="n">
        <v>26.9</v>
      </c>
      <c r="I101" s="5" t="n">
        <v>5.4</v>
      </c>
      <c r="J101" s="5" t="n">
        <v>285.6</v>
      </c>
      <c r="K101" s="5" t="n">
        <v>11</v>
      </c>
    </row>
    <row r="102" customFormat="false" ht="15" hidden="false" customHeight="false" outlineLevel="0" collapsed="false">
      <c r="A102" s="5" t="n">
        <v>120</v>
      </c>
      <c r="B102" s="5" t="n">
        <v>100</v>
      </c>
      <c r="C102" s="5" t="n">
        <v>87.6</v>
      </c>
      <c r="D102" s="5" t="n">
        <v>16.3</v>
      </c>
      <c r="E102" s="5" t="n">
        <v>8.4</v>
      </c>
      <c r="F102" s="5" t="n">
        <v>0</v>
      </c>
      <c r="G102" s="5" t="n">
        <v>12.8</v>
      </c>
      <c r="H102" s="5" t="n">
        <v>13.3</v>
      </c>
      <c r="I102" s="5" t="n">
        <v>4.1</v>
      </c>
      <c r="J102" s="5" t="n">
        <v>98.8</v>
      </c>
      <c r="K102" s="5" t="n">
        <v>11</v>
      </c>
    </row>
    <row r="103" customFormat="false" ht="15" hidden="false" customHeight="false" outlineLevel="0" collapsed="false">
      <c r="A103" s="5" t="n">
        <v>125</v>
      </c>
      <c r="B103" s="5" t="n">
        <v>100</v>
      </c>
      <c r="C103" s="5" t="n">
        <v>61.2</v>
      </c>
      <c r="D103" s="5" t="n">
        <v>16.8</v>
      </c>
      <c r="E103" s="5" t="n">
        <v>9.1</v>
      </c>
      <c r="F103" s="5" t="n">
        <v>0</v>
      </c>
      <c r="G103" s="5" t="n">
        <v>30</v>
      </c>
      <c r="H103" s="5" t="n">
        <v>23.2</v>
      </c>
      <c r="I103" s="5" t="n">
        <v>4.9</v>
      </c>
      <c r="J103" s="5" t="n">
        <v>210.2</v>
      </c>
      <c r="K103" s="5" t="n">
        <v>11</v>
      </c>
    </row>
    <row r="104" customFormat="false" ht="15" hidden="false" customHeight="false" outlineLevel="0" collapsed="false">
      <c r="A104" s="5" t="n">
        <v>130</v>
      </c>
      <c r="B104" s="5" t="n">
        <v>100</v>
      </c>
      <c r="C104" s="5" t="n">
        <v>67.8</v>
      </c>
      <c r="D104" s="5" t="n">
        <v>17.3</v>
      </c>
      <c r="E104" s="5" t="n">
        <v>8.4</v>
      </c>
      <c r="F104" s="5" t="n">
        <v>0</v>
      </c>
      <c r="G104" s="5" t="n">
        <v>29.2</v>
      </c>
      <c r="H104" s="5" t="n">
        <v>25.4</v>
      </c>
      <c r="I104" s="5" t="n">
        <v>4.7</v>
      </c>
      <c r="J104" s="5" t="n">
        <v>210.5</v>
      </c>
      <c r="K104" s="5" t="n">
        <v>11</v>
      </c>
    </row>
    <row r="105" customFormat="false" ht="15" hidden="false" customHeight="false" outlineLevel="0" collapsed="false">
      <c r="A105" s="5" t="n">
        <v>135</v>
      </c>
      <c r="B105" s="5" t="n">
        <v>100</v>
      </c>
      <c r="C105" s="5" t="n">
        <v>62</v>
      </c>
      <c r="D105" s="5" t="n">
        <v>17.3</v>
      </c>
      <c r="E105" s="5" t="n">
        <v>8.6</v>
      </c>
      <c r="F105" s="5" t="n">
        <v>0</v>
      </c>
      <c r="G105" s="5" t="n">
        <v>27.7</v>
      </c>
      <c r="H105" s="5" t="n">
        <v>24.4</v>
      </c>
      <c r="I105" s="5" t="n">
        <v>4.7</v>
      </c>
      <c r="J105" s="5" t="n">
        <v>133.6</v>
      </c>
      <c r="K105" s="5" t="n">
        <v>11</v>
      </c>
    </row>
    <row r="106" customFormat="false" ht="15" hidden="false" customHeight="false" outlineLevel="0" collapsed="false">
      <c r="A106" s="5" t="n">
        <v>140</v>
      </c>
      <c r="B106" s="5" t="n">
        <v>100</v>
      </c>
      <c r="C106" s="5" t="n">
        <v>63.4</v>
      </c>
      <c r="D106" s="5" t="n">
        <v>17.4</v>
      </c>
      <c r="E106" s="5" t="n">
        <v>8.5</v>
      </c>
      <c r="F106" s="5" t="n">
        <v>0</v>
      </c>
      <c r="G106" s="5" t="n">
        <v>24.9</v>
      </c>
      <c r="H106" s="5" t="n">
        <v>24.3</v>
      </c>
      <c r="I106" s="5" t="n">
        <v>3.9</v>
      </c>
      <c r="J106" s="5" t="n">
        <v>236.6</v>
      </c>
      <c r="K106" s="5" t="n">
        <v>11</v>
      </c>
    </row>
    <row r="107" customFormat="false" ht="15" hidden="false" customHeight="false" outlineLevel="0" collapsed="false">
      <c r="A107" s="5" t="n">
        <v>145</v>
      </c>
      <c r="B107" s="5" t="n">
        <v>100</v>
      </c>
      <c r="C107" s="5" t="n">
        <v>63.8</v>
      </c>
      <c r="D107" s="5" t="n">
        <v>17.7</v>
      </c>
      <c r="E107" s="5" t="n">
        <v>8.7</v>
      </c>
      <c r="F107" s="5" t="n">
        <v>0</v>
      </c>
      <c r="G107" s="5" t="n">
        <v>28.5</v>
      </c>
      <c r="H107" s="5" t="n">
        <v>25</v>
      </c>
      <c r="I107" s="5" t="n">
        <v>4.6</v>
      </c>
      <c r="J107" s="5" t="n">
        <v>157.4</v>
      </c>
      <c r="K107" s="5" t="n">
        <v>11</v>
      </c>
    </row>
    <row r="108" customFormat="false" ht="15" hidden="false" customHeight="false" outlineLevel="0" collapsed="false">
      <c r="A108" s="5" t="n">
        <v>150</v>
      </c>
      <c r="B108" s="5" t="n">
        <v>100</v>
      </c>
      <c r="C108" s="5" t="n">
        <v>86.6</v>
      </c>
      <c r="D108" s="5" t="n">
        <v>16.9</v>
      </c>
      <c r="E108" s="5" t="n">
        <v>8.5</v>
      </c>
      <c r="F108" s="5" t="n">
        <v>0</v>
      </c>
      <c r="G108" s="5" t="n">
        <v>17.8</v>
      </c>
      <c r="H108" s="5" t="n">
        <v>13.3</v>
      </c>
      <c r="I108" s="5" t="n">
        <v>5</v>
      </c>
      <c r="J108" s="5" t="n">
        <v>147.5</v>
      </c>
      <c r="K108" s="5" t="n">
        <v>11</v>
      </c>
    </row>
    <row r="109" customFormat="false" ht="15" hidden="false" customHeight="false" outlineLevel="0" collapsed="false">
      <c r="A109" s="5" t="n">
        <v>155</v>
      </c>
      <c r="B109" s="5" t="n">
        <v>100</v>
      </c>
      <c r="C109" s="5" t="n">
        <v>63.8</v>
      </c>
      <c r="D109" s="5" t="n">
        <v>17.3</v>
      </c>
      <c r="E109" s="5" t="n">
        <v>8.3</v>
      </c>
      <c r="F109" s="5" t="n">
        <v>0</v>
      </c>
      <c r="G109" s="5" t="n">
        <v>25.4</v>
      </c>
      <c r="H109" s="5" t="n">
        <v>24.8</v>
      </c>
      <c r="I109" s="5" t="n">
        <v>4</v>
      </c>
      <c r="J109" s="5" t="n">
        <v>263.2</v>
      </c>
      <c r="K109" s="5" t="n">
        <v>11</v>
      </c>
    </row>
    <row r="110" customFormat="false" ht="15" hidden="false" customHeight="false" outlineLevel="0" collapsed="false">
      <c r="A110" s="5" t="n">
        <v>160</v>
      </c>
      <c r="B110" s="5" t="n">
        <v>100</v>
      </c>
      <c r="C110" s="5" t="n">
        <v>63.8</v>
      </c>
      <c r="D110" s="5" t="n">
        <v>16.5</v>
      </c>
      <c r="E110" s="5" t="n">
        <v>8.6</v>
      </c>
      <c r="F110" s="5" t="n">
        <v>0</v>
      </c>
      <c r="G110" s="5" t="n">
        <v>25.6</v>
      </c>
      <c r="H110" s="5" t="n">
        <v>23</v>
      </c>
      <c r="I110" s="5" t="n">
        <v>4.8</v>
      </c>
      <c r="J110" s="5" t="n">
        <v>125.2</v>
      </c>
      <c r="K110" s="5" t="n">
        <v>11</v>
      </c>
    </row>
    <row r="111" customFormat="false" ht="15" hidden="false" customHeight="false" outlineLevel="0" collapsed="false">
      <c r="A111" s="5" t="n">
        <v>165</v>
      </c>
      <c r="B111" s="5" t="n">
        <v>100</v>
      </c>
      <c r="C111" s="5" t="n">
        <v>63.2</v>
      </c>
      <c r="D111" s="5" t="n">
        <v>16.5</v>
      </c>
      <c r="E111" s="5" t="n">
        <v>8.2</v>
      </c>
      <c r="F111" s="5" t="n">
        <v>0</v>
      </c>
      <c r="G111" s="5" t="n">
        <v>32.2</v>
      </c>
      <c r="H111" s="5" t="n">
        <v>24.6</v>
      </c>
      <c r="I111" s="5" t="n">
        <v>5</v>
      </c>
      <c r="J111" s="5" t="n">
        <v>166.6</v>
      </c>
      <c r="K111" s="5" t="n">
        <v>11</v>
      </c>
    </row>
    <row r="112" customFormat="false" ht="15" hidden="false" customHeight="false" outlineLevel="0" collapsed="false">
      <c r="A112" s="5" t="n">
        <v>170</v>
      </c>
      <c r="B112" s="5" t="n">
        <v>100</v>
      </c>
      <c r="C112" s="5" t="n">
        <v>66.2</v>
      </c>
      <c r="D112" s="5" t="n">
        <v>18.2</v>
      </c>
      <c r="E112" s="5" t="n">
        <v>8.8</v>
      </c>
      <c r="F112" s="5" t="n">
        <v>0</v>
      </c>
      <c r="G112" s="5" t="n">
        <v>30.6</v>
      </c>
      <c r="H112" s="5" t="n">
        <v>26.1</v>
      </c>
      <c r="I112" s="5" t="n">
        <v>5.1</v>
      </c>
      <c r="J112" s="5" t="n">
        <v>271.4</v>
      </c>
      <c r="K112" s="5" t="n">
        <v>11</v>
      </c>
    </row>
    <row r="113" customFormat="false" ht="15" hidden="false" customHeight="false" outlineLevel="0" collapsed="false">
      <c r="A113" s="5" t="n">
        <v>175</v>
      </c>
      <c r="B113" s="5" t="n">
        <v>100</v>
      </c>
      <c r="C113" s="5" t="n">
        <v>63.4</v>
      </c>
      <c r="D113" s="5" t="n">
        <v>17.4</v>
      </c>
      <c r="E113" s="5" t="n">
        <v>8.6</v>
      </c>
      <c r="F113" s="5" t="n">
        <v>0</v>
      </c>
      <c r="G113" s="5" t="n">
        <v>31.4</v>
      </c>
      <c r="H113" s="5" t="n">
        <v>24.4</v>
      </c>
      <c r="I113" s="5" t="n">
        <v>4.9</v>
      </c>
      <c r="J113" s="5" t="n">
        <v>131.1</v>
      </c>
      <c r="K113" s="5" t="n">
        <v>11</v>
      </c>
    </row>
    <row r="114" customFormat="false" ht="15" hidden="false" customHeight="false" outlineLevel="0" collapsed="false">
      <c r="A114" s="5" t="n">
        <v>180</v>
      </c>
      <c r="B114" s="5" t="n">
        <v>100</v>
      </c>
      <c r="C114" s="5" t="n">
        <v>83.6</v>
      </c>
      <c r="D114" s="5" t="n">
        <v>17</v>
      </c>
      <c r="E114" s="5" t="n">
        <v>8</v>
      </c>
      <c r="F114" s="5" t="n">
        <v>0</v>
      </c>
      <c r="G114" s="5" t="n">
        <v>15.5</v>
      </c>
      <c r="H114" s="5" t="n">
        <v>12.5</v>
      </c>
      <c r="I114" s="5" t="n">
        <v>4.5</v>
      </c>
      <c r="J114" s="5" t="n">
        <v>183.2</v>
      </c>
      <c r="K114" s="5" t="n">
        <v>11</v>
      </c>
    </row>
    <row r="115" customFormat="false" ht="15" hidden="false" customHeight="false" outlineLevel="0" collapsed="false">
      <c r="A115" s="5" t="n">
        <v>185</v>
      </c>
      <c r="B115" s="5" t="n">
        <v>100</v>
      </c>
      <c r="C115" s="5" t="n">
        <v>66.2</v>
      </c>
      <c r="D115" s="5" t="n">
        <v>17.6</v>
      </c>
      <c r="E115" s="5" t="n">
        <v>8.9</v>
      </c>
      <c r="F115" s="5" t="n">
        <v>0</v>
      </c>
      <c r="G115" s="5" t="n">
        <v>27.7</v>
      </c>
      <c r="H115" s="5" t="n">
        <v>25.8</v>
      </c>
      <c r="I115" s="5" t="n">
        <v>4.7</v>
      </c>
      <c r="J115" s="5" t="n">
        <v>184.9</v>
      </c>
      <c r="K115" s="5" t="n">
        <v>11</v>
      </c>
    </row>
    <row r="116" customFormat="false" ht="15" hidden="false" customHeight="false" outlineLevel="0" collapsed="false">
      <c r="A116" s="5" t="n">
        <v>190</v>
      </c>
      <c r="B116" s="5" t="n">
        <v>100</v>
      </c>
      <c r="C116" s="5" t="n">
        <v>63.2</v>
      </c>
      <c r="D116" s="5" t="n">
        <v>17.2</v>
      </c>
      <c r="E116" s="5" t="n">
        <v>8.3</v>
      </c>
      <c r="F116" s="5" t="n">
        <v>0</v>
      </c>
      <c r="G116" s="5" t="n">
        <v>29</v>
      </c>
      <c r="H116" s="5" t="n">
        <v>23.9</v>
      </c>
      <c r="I116" s="5" t="n">
        <v>4.8</v>
      </c>
      <c r="J116" s="5" t="n">
        <v>118.7</v>
      </c>
      <c r="K116" s="5" t="n">
        <v>11</v>
      </c>
    </row>
    <row r="117" customFormat="false" ht="15" hidden="false" customHeight="false" outlineLevel="0" collapsed="false">
      <c r="A117" s="5" t="n">
        <v>195</v>
      </c>
      <c r="B117" s="5" t="n">
        <v>100</v>
      </c>
      <c r="C117" s="5" t="n">
        <v>63.6</v>
      </c>
      <c r="D117" s="5" t="n">
        <v>17</v>
      </c>
      <c r="E117" s="5" t="n">
        <v>8.4</v>
      </c>
      <c r="F117" s="5" t="n">
        <v>0</v>
      </c>
      <c r="G117" s="5" t="n">
        <v>26.1</v>
      </c>
      <c r="H117" s="5" t="n">
        <v>23</v>
      </c>
      <c r="I117" s="5" t="n">
        <v>4.3</v>
      </c>
      <c r="J117" s="5" t="n">
        <v>215.7</v>
      </c>
      <c r="K117" s="5" t="n">
        <v>11</v>
      </c>
    </row>
    <row r="118" customFormat="false" ht="15" hidden="false" customHeight="false" outlineLevel="0" collapsed="false">
      <c r="A118" s="5" t="n">
        <v>200</v>
      </c>
      <c r="B118" s="5" t="n">
        <v>100</v>
      </c>
      <c r="C118" s="5" t="n">
        <v>65.6</v>
      </c>
      <c r="D118" s="5" t="n">
        <v>17</v>
      </c>
      <c r="E118" s="5" t="n">
        <v>8.5</v>
      </c>
      <c r="F118" s="5" t="n">
        <v>0</v>
      </c>
      <c r="G118" s="5" t="n">
        <v>27.3</v>
      </c>
      <c r="H118" s="5" t="n">
        <v>25.5</v>
      </c>
      <c r="I118" s="5" t="n">
        <v>4.5</v>
      </c>
      <c r="J118" s="5" t="n">
        <v>198.3</v>
      </c>
      <c r="K118" s="5" t="n">
        <v>11</v>
      </c>
    </row>
    <row r="119" customFormat="false" ht="15" hidden="false" customHeight="false" outlineLevel="0" collapsed="false">
      <c r="A119" s="5" t="n">
        <v>205</v>
      </c>
      <c r="B119" s="5" t="n">
        <v>100</v>
      </c>
      <c r="C119" s="5" t="n">
        <v>64.6</v>
      </c>
      <c r="D119" s="5" t="n">
        <v>17.2</v>
      </c>
      <c r="E119" s="5" t="n">
        <v>8.7</v>
      </c>
      <c r="F119" s="5" t="n">
        <v>0</v>
      </c>
      <c r="G119" s="5" t="n">
        <v>26</v>
      </c>
      <c r="H119" s="5" t="n">
        <v>25.2</v>
      </c>
      <c r="I119" s="5" t="n">
        <v>4.7</v>
      </c>
      <c r="J119" s="5" t="n">
        <v>121.6</v>
      </c>
      <c r="K119" s="5" t="n">
        <v>11</v>
      </c>
    </row>
    <row r="120" customFormat="false" ht="15" hidden="false" customHeight="false" outlineLevel="0" collapsed="false">
      <c r="A120" s="5" t="n">
        <v>210</v>
      </c>
      <c r="B120" s="5" t="n">
        <v>100</v>
      </c>
      <c r="C120" s="5" t="n">
        <v>77.4</v>
      </c>
      <c r="D120" s="5" t="n">
        <v>17.8</v>
      </c>
      <c r="E120" s="5" t="n">
        <v>9.2</v>
      </c>
      <c r="F120" s="5" t="n">
        <v>0</v>
      </c>
      <c r="G120" s="5" t="n">
        <v>19</v>
      </c>
      <c r="H120" s="5" t="n">
        <v>15.2</v>
      </c>
      <c r="I120" s="5" t="n">
        <v>4.9</v>
      </c>
      <c r="J120" s="5" t="n">
        <v>255.4</v>
      </c>
      <c r="K120" s="5" t="n">
        <v>11</v>
      </c>
    </row>
    <row r="121" customFormat="false" ht="15" hidden="false" customHeight="false" outlineLevel="0" collapsed="false">
      <c r="A121" s="5" t="n">
        <v>215</v>
      </c>
      <c r="B121" s="5" t="n">
        <v>100</v>
      </c>
      <c r="C121" s="5" t="n">
        <v>73.8</v>
      </c>
      <c r="D121" s="5" t="n">
        <v>17.6</v>
      </c>
      <c r="E121" s="5" t="n">
        <v>8.4</v>
      </c>
      <c r="F121" s="5" t="n">
        <v>0</v>
      </c>
      <c r="G121" s="5" t="n">
        <v>28.2</v>
      </c>
      <c r="H121" s="5" t="n">
        <v>24.3</v>
      </c>
      <c r="I121" s="5" t="n">
        <v>5</v>
      </c>
      <c r="J121" s="5" t="n">
        <v>140.5</v>
      </c>
      <c r="K121" s="5" t="n">
        <v>11</v>
      </c>
    </row>
    <row r="122" customFormat="false" ht="15" hidden="false" customHeight="false" outlineLevel="0" collapsed="false">
      <c r="A122" s="5" t="n">
        <v>220</v>
      </c>
      <c r="B122" s="5" t="n">
        <v>100</v>
      </c>
      <c r="C122" s="5" t="n">
        <v>63.4</v>
      </c>
      <c r="D122" s="5" t="n">
        <v>16.8</v>
      </c>
      <c r="E122" s="5" t="n">
        <v>8.2</v>
      </c>
      <c r="F122" s="5" t="n">
        <v>0</v>
      </c>
      <c r="G122" s="5" t="n">
        <v>28.3</v>
      </c>
      <c r="H122" s="5" t="n">
        <v>25</v>
      </c>
      <c r="I122" s="5" t="n">
        <v>4.6</v>
      </c>
      <c r="J122" s="5" t="n">
        <v>156.5</v>
      </c>
      <c r="K122" s="5" t="n">
        <v>11</v>
      </c>
    </row>
    <row r="123" customFormat="false" ht="15" hidden="false" customHeight="false" outlineLevel="0" collapsed="false">
      <c r="A123" s="5" t="n">
        <v>225</v>
      </c>
      <c r="B123" s="5" t="n">
        <v>100</v>
      </c>
      <c r="C123" s="5" t="n">
        <v>60.8</v>
      </c>
      <c r="D123" s="5" t="n">
        <v>17</v>
      </c>
      <c r="E123" s="5" t="n">
        <v>9.1</v>
      </c>
      <c r="F123" s="5" t="n">
        <v>0</v>
      </c>
      <c r="G123" s="5" t="n">
        <v>29.3</v>
      </c>
      <c r="H123" s="5" t="n">
        <v>24.2</v>
      </c>
      <c r="I123" s="5" t="n">
        <v>4.7</v>
      </c>
      <c r="J123" s="5" t="n">
        <v>259.9</v>
      </c>
      <c r="K123" s="5" t="n">
        <v>11</v>
      </c>
    </row>
    <row r="124" customFormat="false" ht="15" hidden="false" customHeight="false" outlineLevel="0" collapsed="false">
      <c r="A124" s="5" t="n">
        <v>230</v>
      </c>
      <c r="B124" s="5" t="n">
        <v>100</v>
      </c>
      <c r="C124" s="5" t="n">
        <v>67.4</v>
      </c>
      <c r="D124" s="5" t="n">
        <v>17.6</v>
      </c>
      <c r="E124" s="5" t="n">
        <v>8.5</v>
      </c>
      <c r="F124" s="5" t="n">
        <v>0</v>
      </c>
      <c r="G124" s="5" t="n">
        <v>28.3</v>
      </c>
      <c r="H124" s="5" t="n">
        <v>25.9</v>
      </c>
      <c r="I124" s="5" t="n">
        <v>5</v>
      </c>
      <c r="J124" s="5" t="n">
        <v>125.8</v>
      </c>
      <c r="K124" s="5" t="n">
        <v>11</v>
      </c>
    </row>
    <row r="125" customFormat="false" ht="15" hidden="false" customHeight="false" outlineLevel="0" collapsed="false">
      <c r="A125" s="5" t="n">
        <v>235</v>
      </c>
      <c r="B125" s="5" t="n">
        <v>100</v>
      </c>
      <c r="C125" s="5" t="n">
        <v>62.6</v>
      </c>
      <c r="D125" s="5" t="n">
        <v>17.2</v>
      </c>
      <c r="E125" s="5" t="n">
        <v>8.3</v>
      </c>
      <c r="F125" s="5" t="n">
        <v>0</v>
      </c>
      <c r="G125" s="5" t="n">
        <v>27.1</v>
      </c>
      <c r="H125" s="5" t="n">
        <v>22.6</v>
      </c>
      <c r="I125" s="5" t="n">
        <v>4.2</v>
      </c>
      <c r="J125" s="5" t="n">
        <v>169.4</v>
      </c>
      <c r="K125" s="5" t="n">
        <v>11</v>
      </c>
    </row>
    <row r="126" customFormat="false" ht="15" hidden="false" customHeight="false" outlineLevel="0" collapsed="false">
      <c r="A126" s="5" t="n">
        <v>240</v>
      </c>
      <c r="B126" s="5" t="n">
        <v>100</v>
      </c>
      <c r="C126" s="5" t="n">
        <v>68.8</v>
      </c>
      <c r="D126" s="5" t="n">
        <v>17.2</v>
      </c>
      <c r="E126" s="5" t="n">
        <v>9</v>
      </c>
      <c r="F126" s="5" t="n">
        <v>0</v>
      </c>
      <c r="G126" s="5" t="n">
        <v>14.1</v>
      </c>
      <c r="H126" s="5" t="n">
        <v>12</v>
      </c>
      <c r="I126" s="5" t="n">
        <v>5</v>
      </c>
      <c r="J126" s="5" t="n">
        <v>240.5</v>
      </c>
      <c r="K126" s="5" t="n">
        <v>11</v>
      </c>
    </row>
    <row r="127" customFormat="false" ht="15" hidden="false" customHeight="false" outlineLevel="0" collapsed="false">
      <c r="A127" s="5" t="n">
        <v>245</v>
      </c>
      <c r="B127" s="5" t="n">
        <v>100</v>
      </c>
      <c r="C127" s="5" t="n">
        <v>83.4</v>
      </c>
      <c r="D127" s="5" t="n">
        <v>17.3</v>
      </c>
      <c r="E127" s="5" t="n">
        <v>8.3</v>
      </c>
      <c r="F127" s="5" t="n">
        <v>0</v>
      </c>
      <c r="G127" s="5" t="n">
        <v>27.6</v>
      </c>
      <c r="H127" s="5" t="n">
        <v>24.7</v>
      </c>
      <c r="I127" s="5" t="n">
        <v>4.3</v>
      </c>
      <c r="J127" s="5" t="n">
        <v>109.7</v>
      </c>
      <c r="K127" s="5" t="n">
        <v>11</v>
      </c>
    </row>
    <row r="128" customFormat="false" ht="15" hidden="false" customHeight="false" outlineLevel="0" collapsed="false">
      <c r="A128" s="5" t="n">
        <v>250</v>
      </c>
      <c r="B128" s="5" t="n">
        <v>100</v>
      </c>
      <c r="C128" s="5" t="n">
        <v>62</v>
      </c>
      <c r="D128" s="5" t="n">
        <v>17.5</v>
      </c>
      <c r="E128" s="5" t="n">
        <v>8.4</v>
      </c>
      <c r="F128" s="5" t="n">
        <v>0</v>
      </c>
      <c r="G128" s="5" t="n">
        <v>28</v>
      </c>
      <c r="H128" s="5" t="n">
        <v>25.6</v>
      </c>
      <c r="I128" s="5" t="n">
        <v>4.7</v>
      </c>
      <c r="J128" s="5" t="n">
        <v>218.3</v>
      </c>
      <c r="K128" s="5" t="n">
        <v>11</v>
      </c>
    </row>
    <row r="129" customFormat="false" ht="15" hidden="false" customHeight="false" outlineLevel="0" collapsed="false">
      <c r="A129" s="5" t="n">
        <v>255</v>
      </c>
      <c r="B129" s="5" t="n">
        <v>100</v>
      </c>
      <c r="C129" s="5" t="n">
        <v>62</v>
      </c>
      <c r="D129" s="5" t="n">
        <v>17.9</v>
      </c>
      <c r="E129" s="5" t="n">
        <v>9</v>
      </c>
      <c r="F129" s="5" t="n">
        <v>0</v>
      </c>
      <c r="G129" s="5" t="n">
        <v>26.3</v>
      </c>
      <c r="H129" s="5" t="n">
        <v>24.6</v>
      </c>
      <c r="I129" s="5" t="n">
        <v>5.4</v>
      </c>
      <c r="J129" s="5" t="n">
        <v>200.1</v>
      </c>
      <c r="K129" s="5" t="n">
        <v>11</v>
      </c>
    </row>
    <row r="130" customFormat="false" ht="15" hidden="false" customHeight="false" outlineLevel="0" collapsed="false">
      <c r="A130" s="5" t="n">
        <v>260</v>
      </c>
      <c r="B130" s="5" t="n">
        <v>100</v>
      </c>
      <c r="C130" s="5" t="n">
        <v>63.2</v>
      </c>
      <c r="D130" s="5" t="n">
        <v>17.5</v>
      </c>
      <c r="E130" s="5" t="n">
        <v>8.8</v>
      </c>
      <c r="F130" s="5" t="n">
        <v>0</v>
      </c>
      <c r="G130" s="5" t="n">
        <v>26.9</v>
      </c>
      <c r="H130" s="5" t="n">
        <v>25.9</v>
      </c>
      <c r="I130" s="5" t="n">
        <v>4.8</v>
      </c>
      <c r="J130" s="5" t="n">
        <v>123</v>
      </c>
      <c r="K130" s="5" t="n">
        <v>11</v>
      </c>
    </row>
    <row r="131" customFormat="false" ht="15" hidden="false" customHeight="false" outlineLevel="0" collapsed="false">
      <c r="A131" s="5" t="n">
        <v>265</v>
      </c>
      <c r="B131" s="5" t="n">
        <v>100</v>
      </c>
      <c r="C131" s="5" t="n">
        <v>65.8</v>
      </c>
      <c r="D131" s="5" t="n">
        <v>18.2</v>
      </c>
      <c r="E131" s="5" t="n">
        <v>9.1</v>
      </c>
      <c r="F131" s="5" t="n">
        <v>0</v>
      </c>
      <c r="G131" s="5" t="n">
        <v>31.6</v>
      </c>
      <c r="H131" s="5" t="n">
        <v>25.3</v>
      </c>
      <c r="I131" s="5" t="n">
        <v>4.9</v>
      </c>
      <c r="J131" s="5" t="n">
        <v>225.2</v>
      </c>
      <c r="K131" s="5" t="n">
        <v>11</v>
      </c>
    </row>
    <row r="132" customFormat="false" ht="15" hidden="false" customHeight="false" outlineLevel="0" collapsed="false">
      <c r="A132" s="5" t="n">
        <v>270</v>
      </c>
      <c r="B132" s="5" t="n">
        <v>100</v>
      </c>
      <c r="C132" s="5" t="n">
        <v>62.8</v>
      </c>
      <c r="D132" s="5" t="n">
        <v>18.3</v>
      </c>
      <c r="E132" s="5" t="n">
        <v>9.2</v>
      </c>
      <c r="F132" s="5" t="n">
        <v>0</v>
      </c>
      <c r="G132" s="5" t="n">
        <v>23.9</v>
      </c>
      <c r="H132" s="5" t="n">
        <v>14.4</v>
      </c>
      <c r="I132" s="5" t="n">
        <v>5.2</v>
      </c>
      <c r="J132" s="5" t="n">
        <v>194</v>
      </c>
      <c r="K132" s="5" t="n">
        <v>11</v>
      </c>
    </row>
    <row r="133" customFormat="false" ht="15" hidden="false" customHeight="false" outlineLevel="0" collapsed="false">
      <c r="A133" s="5" t="n">
        <v>275</v>
      </c>
      <c r="B133" s="5" t="n">
        <v>100</v>
      </c>
      <c r="C133" s="5" t="n">
        <v>83.4</v>
      </c>
      <c r="D133" s="5" t="n">
        <v>17.6</v>
      </c>
      <c r="E133" s="5" t="n">
        <v>8</v>
      </c>
      <c r="F133" s="5" t="n">
        <v>0</v>
      </c>
      <c r="G133" s="5" t="n">
        <v>26.1</v>
      </c>
      <c r="H133" s="5" t="n">
        <v>24.8</v>
      </c>
      <c r="I133" s="5" t="n">
        <v>4.5</v>
      </c>
      <c r="J133" s="5" t="n">
        <v>147.3</v>
      </c>
      <c r="K133" s="5" t="n">
        <v>11</v>
      </c>
    </row>
    <row r="134" customFormat="false" ht="15" hidden="false" customHeight="false" outlineLevel="0" collapsed="false">
      <c r="A134" s="5" t="n">
        <v>280</v>
      </c>
      <c r="B134" s="5" t="n">
        <v>100</v>
      </c>
      <c r="C134" s="5" t="n">
        <v>66.6</v>
      </c>
      <c r="D134" s="5" t="n">
        <v>17.5</v>
      </c>
      <c r="E134" s="5" t="n">
        <v>8.7</v>
      </c>
      <c r="F134" s="5" t="n">
        <v>0</v>
      </c>
      <c r="G134" s="5" t="n">
        <v>31.2</v>
      </c>
      <c r="H134" s="5" t="n">
        <v>26.3</v>
      </c>
      <c r="I134" s="5" t="n">
        <v>4.8</v>
      </c>
      <c r="J134" s="5" t="n">
        <v>257.3</v>
      </c>
      <c r="K134" s="5" t="n">
        <v>11</v>
      </c>
    </row>
    <row r="135" customFormat="false" ht="15" hidden="false" customHeight="false" outlineLevel="0" collapsed="false">
      <c r="A135" s="5" t="n">
        <v>285</v>
      </c>
      <c r="B135" s="5" t="n">
        <v>100</v>
      </c>
      <c r="C135" s="5" t="n">
        <v>61</v>
      </c>
      <c r="D135" s="5" t="n">
        <v>18.3</v>
      </c>
      <c r="E135" s="5" t="n">
        <v>8.7</v>
      </c>
      <c r="F135" s="5" t="n">
        <v>0</v>
      </c>
      <c r="G135" s="5" t="n">
        <v>26.1</v>
      </c>
      <c r="H135" s="5" t="n">
        <v>23.4</v>
      </c>
      <c r="I135" s="5" t="n">
        <v>4.4</v>
      </c>
      <c r="J135" s="5" t="n">
        <v>119.2</v>
      </c>
      <c r="K135" s="5" t="n">
        <v>11</v>
      </c>
    </row>
    <row r="136" customFormat="false" ht="15" hidden="false" customHeight="false" outlineLevel="0" collapsed="false">
      <c r="A136" s="5" t="n">
        <v>290</v>
      </c>
      <c r="B136" s="5" t="n">
        <v>100</v>
      </c>
      <c r="C136" s="5" t="n">
        <v>61.2</v>
      </c>
      <c r="D136" s="5" t="n">
        <v>17.2</v>
      </c>
      <c r="E136" s="5" t="n">
        <v>8.6</v>
      </c>
      <c r="F136" s="5" t="n">
        <v>0</v>
      </c>
      <c r="G136" s="5" t="n">
        <v>25.7</v>
      </c>
      <c r="H136" s="5" t="n">
        <v>25.3</v>
      </c>
      <c r="I136" s="5" t="n">
        <v>4.4</v>
      </c>
      <c r="J136" s="5" t="n">
        <v>159.8</v>
      </c>
      <c r="K136" s="5" t="n">
        <v>11</v>
      </c>
    </row>
    <row r="137" customFormat="false" ht="15" hidden="false" customHeight="false" outlineLevel="0" collapsed="false">
      <c r="A137" s="5" t="n">
        <v>295</v>
      </c>
      <c r="B137" s="5" t="n">
        <v>100</v>
      </c>
      <c r="C137" s="5" t="n">
        <v>64.6</v>
      </c>
      <c r="D137" s="5" t="n">
        <v>17.4</v>
      </c>
      <c r="E137" s="5" t="n">
        <v>8.3</v>
      </c>
      <c r="F137" s="5" t="n">
        <v>0</v>
      </c>
      <c r="G137" s="5" t="n">
        <v>25.3</v>
      </c>
      <c r="H137" s="5" t="n">
        <v>24.5</v>
      </c>
      <c r="I137" s="5" t="n">
        <v>4.4</v>
      </c>
      <c r="J137" s="5" t="n">
        <v>285.2</v>
      </c>
      <c r="K137" s="5" t="n">
        <v>11</v>
      </c>
    </row>
    <row r="138" customFormat="false" ht="15" hidden="false" customHeight="false" outlineLevel="0" collapsed="false">
      <c r="A138" s="5" t="n">
        <v>300</v>
      </c>
      <c r="B138" s="5" t="n">
        <v>100</v>
      </c>
      <c r="C138" s="5" t="n">
        <v>64</v>
      </c>
      <c r="D138" s="5" t="n">
        <v>18.2</v>
      </c>
      <c r="E138" s="5" t="n">
        <v>8.8</v>
      </c>
      <c r="F138" s="5" t="n">
        <v>0</v>
      </c>
      <c r="G138" s="5" t="n">
        <v>28.2</v>
      </c>
      <c r="H138" s="5" t="n">
        <v>25.6</v>
      </c>
      <c r="I138" s="5" t="n">
        <v>4.7</v>
      </c>
      <c r="J138" s="5" t="n">
        <v>88.5</v>
      </c>
      <c r="K138" s="5" t="n">
        <v>11</v>
      </c>
    </row>
    <row r="139" customFormat="false" ht="15" hidden="false" customHeight="false" outlineLevel="0" collapsed="false">
      <c r="A139" s="5" t="n">
        <v>305</v>
      </c>
      <c r="B139" s="5" t="n">
        <v>100</v>
      </c>
      <c r="C139" s="5" t="n">
        <v>80.2</v>
      </c>
      <c r="D139" s="5" t="n">
        <v>17.4</v>
      </c>
      <c r="E139" s="5" t="n">
        <v>9.3</v>
      </c>
      <c r="F139" s="5" t="n">
        <v>0</v>
      </c>
      <c r="G139" s="5" t="n">
        <v>19.3</v>
      </c>
      <c r="H139" s="5" t="n">
        <v>16.2</v>
      </c>
      <c r="I139" s="5" t="n">
        <v>4.8</v>
      </c>
      <c r="J139" s="5" t="n">
        <v>214.3</v>
      </c>
      <c r="K139" s="5" t="n">
        <v>11</v>
      </c>
    </row>
    <row r="140" customFormat="false" ht="15" hidden="false" customHeight="false" outlineLevel="0" collapsed="false">
      <c r="A140" s="5" t="n">
        <v>310</v>
      </c>
      <c r="B140" s="5" t="n">
        <v>100</v>
      </c>
      <c r="C140" s="5" t="n">
        <v>66.4</v>
      </c>
      <c r="D140" s="5" t="n">
        <v>17.6</v>
      </c>
      <c r="E140" s="5" t="n">
        <v>8.8</v>
      </c>
      <c r="F140" s="5" t="n">
        <v>0</v>
      </c>
      <c r="G140" s="5" t="n">
        <v>29</v>
      </c>
      <c r="H140" s="5" t="n">
        <v>26.5</v>
      </c>
      <c r="I140" s="5" t="n">
        <v>4.7</v>
      </c>
      <c r="J140" s="5" t="n">
        <v>175.1</v>
      </c>
      <c r="K140" s="5" t="n">
        <v>11</v>
      </c>
    </row>
    <row r="141" customFormat="false" ht="15" hidden="false" customHeight="false" outlineLevel="0" collapsed="false">
      <c r="A141" s="5" t="n">
        <v>315</v>
      </c>
      <c r="B141" s="5" t="n">
        <v>100</v>
      </c>
      <c r="C141" s="5" t="n">
        <v>64.2</v>
      </c>
      <c r="D141" s="5" t="n">
        <v>18</v>
      </c>
      <c r="E141" s="5" t="n">
        <v>8.6</v>
      </c>
      <c r="F141" s="5" t="n">
        <v>0</v>
      </c>
      <c r="G141" s="5" t="n">
        <v>27.3</v>
      </c>
      <c r="H141" s="5" t="n">
        <v>27.1</v>
      </c>
      <c r="I141" s="5" t="n">
        <v>4.7</v>
      </c>
      <c r="J141" s="5" t="n">
        <v>119.8</v>
      </c>
      <c r="K141" s="5" t="n">
        <v>11</v>
      </c>
    </row>
    <row r="142" customFormat="false" ht="15" hidden="false" customHeight="false" outlineLevel="0" collapsed="false">
      <c r="A142" s="5" t="n">
        <v>320</v>
      </c>
      <c r="B142" s="5" t="n">
        <v>100</v>
      </c>
      <c r="C142" s="5" t="n">
        <v>68</v>
      </c>
      <c r="D142" s="5" t="n">
        <v>18</v>
      </c>
      <c r="E142" s="5" t="n">
        <v>8.8</v>
      </c>
      <c r="F142" s="5" t="n">
        <v>0</v>
      </c>
      <c r="G142" s="5" t="n">
        <v>27.5</v>
      </c>
      <c r="H142" s="5" t="n">
        <v>24.5</v>
      </c>
      <c r="I142" s="5" t="n">
        <v>4.7</v>
      </c>
      <c r="J142" s="5" t="n">
        <v>230</v>
      </c>
      <c r="K142" s="5" t="n">
        <v>11</v>
      </c>
    </row>
    <row r="143" customFormat="false" ht="15" hidden="false" customHeight="false" outlineLevel="0" collapsed="false">
      <c r="A143" s="5" t="n">
        <v>325</v>
      </c>
      <c r="B143" s="5" t="n">
        <v>100</v>
      </c>
      <c r="C143" s="5" t="n">
        <v>62.8</v>
      </c>
      <c r="D143" s="5" t="n">
        <v>17.4</v>
      </c>
      <c r="E143" s="5" t="n">
        <v>8.7</v>
      </c>
      <c r="F143" s="5" t="n">
        <v>0</v>
      </c>
      <c r="G143" s="5" t="n">
        <v>26.9</v>
      </c>
      <c r="H143" s="5" t="n">
        <v>25.8</v>
      </c>
      <c r="I143" s="5" t="n">
        <v>4.7</v>
      </c>
      <c r="J143" s="5" t="n">
        <v>212.8</v>
      </c>
      <c r="K143" s="5" t="n">
        <v>11</v>
      </c>
    </row>
    <row r="144" customFormat="false" ht="15" hidden="false" customHeight="false" outlineLevel="0" collapsed="false">
      <c r="A144" s="5" t="n">
        <v>330</v>
      </c>
      <c r="B144" s="5" t="n">
        <v>100</v>
      </c>
      <c r="C144" s="5" t="n">
        <v>63.8</v>
      </c>
      <c r="D144" s="5" t="n">
        <v>17.4</v>
      </c>
      <c r="E144" s="5" t="n">
        <v>8.4</v>
      </c>
      <c r="F144" s="5" t="n">
        <v>0</v>
      </c>
      <c r="G144" s="5" t="n">
        <v>29.5</v>
      </c>
      <c r="H144" s="5" t="n">
        <v>24</v>
      </c>
      <c r="I144" s="5" t="n">
        <v>4.5</v>
      </c>
      <c r="J144" s="5" t="n">
        <v>135.6</v>
      </c>
      <c r="K144" s="5" t="n">
        <v>11</v>
      </c>
    </row>
    <row r="145" customFormat="false" ht="15" hidden="false" customHeight="false" outlineLevel="0" collapsed="false">
      <c r="A145" s="5" t="n">
        <v>335</v>
      </c>
      <c r="B145" s="5" t="n">
        <v>100</v>
      </c>
      <c r="C145" s="5" t="n">
        <v>85.6</v>
      </c>
      <c r="D145" s="5" t="n">
        <v>17.4</v>
      </c>
      <c r="E145" s="5" t="n">
        <v>8.4</v>
      </c>
      <c r="F145" s="5" t="n">
        <v>0</v>
      </c>
      <c r="G145" s="5" t="n">
        <v>17.4</v>
      </c>
      <c r="H145" s="5" t="n">
        <v>15.8</v>
      </c>
      <c r="I145" s="5" t="n">
        <v>4.7</v>
      </c>
      <c r="J145" s="5" t="n">
        <v>258.8</v>
      </c>
      <c r="K145" s="5" t="n">
        <v>11</v>
      </c>
    </row>
    <row r="146" customFormat="false" ht="15" hidden="false" customHeight="false" outlineLevel="0" collapsed="false">
      <c r="A146" s="5" t="n">
        <v>340</v>
      </c>
      <c r="B146" s="5" t="n">
        <v>100</v>
      </c>
      <c r="C146" s="5" t="n">
        <v>62.4</v>
      </c>
      <c r="D146" s="5" t="n">
        <v>17.5</v>
      </c>
      <c r="E146" s="5" t="n">
        <v>9.4</v>
      </c>
      <c r="F146" s="5" t="n">
        <v>0</v>
      </c>
      <c r="G146" s="5" t="n">
        <v>28.1</v>
      </c>
      <c r="H146" s="5" t="n">
        <v>25.4</v>
      </c>
      <c r="I146" s="5" t="n">
        <v>4.7</v>
      </c>
      <c r="J146" s="5" t="n">
        <v>81.2</v>
      </c>
      <c r="K146" s="5" t="n">
        <v>11</v>
      </c>
    </row>
    <row r="147" customFormat="false" ht="15" hidden="false" customHeight="false" outlineLevel="0" collapsed="false">
      <c r="A147" s="5" t="n">
        <v>345</v>
      </c>
      <c r="B147" s="5" t="n">
        <v>96</v>
      </c>
      <c r="C147" s="5" t="n">
        <v>55.6</v>
      </c>
      <c r="D147" s="5" t="n">
        <v>18.1</v>
      </c>
      <c r="E147" s="5" t="n">
        <v>8.7</v>
      </c>
      <c r="F147" s="5" t="n">
        <v>0</v>
      </c>
      <c r="G147" s="5" t="n">
        <v>22.9</v>
      </c>
      <c r="H147" s="5" t="n">
        <v>22.1</v>
      </c>
      <c r="I147" s="5" t="n">
        <v>4.6</v>
      </c>
      <c r="J147" s="5" t="n">
        <v>172.3</v>
      </c>
      <c r="K147" s="5" t="n">
        <v>11</v>
      </c>
    </row>
    <row r="148" customFormat="false" ht="15" hidden="false" customHeight="false" outlineLevel="0" collapsed="false">
      <c r="A148" s="5" t="n">
        <v>350</v>
      </c>
      <c r="B148" s="5" t="n">
        <v>83</v>
      </c>
      <c r="C148" s="5" t="n">
        <v>51.8</v>
      </c>
      <c r="D148" s="5" t="n">
        <v>18.2</v>
      </c>
      <c r="E148" s="5" t="n">
        <v>9.6</v>
      </c>
      <c r="F148" s="5" t="n">
        <v>0</v>
      </c>
      <c r="G148" s="5" t="n">
        <v>24.4</v>
      </c>
      <c r="H148" s="5" t="n">
        <v>22.4</v>
      </c>
      <c r="I148" s="5" t="n">
        <v>4.1</v>
      </c>
      <c r="J148" s="5" t="n">
        <v>274.2</v>
      </c>
      <c r="K148" s="5" t="n">
        <v>11</v>
      </c>
    </row>
    <row r="149" customFormat="false" ht="15" hidden="false" customHeight="false" outlineLevel="0" collapsed="false">
      <c r="A149" s="5" t="n">
        <v>355</v>
      </c>
      <c r="B149" s="5" t="n">
        <v>69</v>
      </c>
      <c r="C149" s="5" t="n">
        <v>35.4</v>
      </c>
      <c r="D149" s="5" t="n">
        <v>16.9</v>
      </c>
      <c r="E149" s="5" t="n">
        <v>8.8</v>
      </c>
      <c r="F149" s="5" t="n">
        <v>0</v>
      </c>
      <c r="G149" s="5" t="n">
        <v>16.7</v>
      </c>
      <c r="H149" s="5" t="n">
        <v>14.7</v>
      </c>
      <c r="I149" s="5" t="n">
        <v>3</v>
      </c>
      <c r="J149" s="5" t="n">
        <v>165.5</v>
      </c>
      <c r="K149" s="5" t="n">
        <v>11</v>
      </c>
    </row>
    <row r="150" customFormat="false" ht="15" hidden="false" customHeight="false" outlineLevel="0" collapsed="false">
      <c r="A150" s="5" t="n">
        <v>360</v>
      </c>
      <c r="B150" s="5" t="n">
        <v>53</v>
      </c>
      <c r="C150" s="5" t="n">
        <v>27</v>
      </c>
      <c r="D150" s="5" t="n">
        <v>19.4</v>
      </c>
      <c r="E150" s="5" t="n">
        <v>12.9</v>
      </c>
      <c r="F150" s="5" t="n">
        <v>0</v>
      </c>
      <c r="G150" s="5" t="n">
        <v>13.7</v>
      </c>
      <c r="H150" s="5" t="n">
        <v>10.8</v>
      </c>
      <c r="I150" s="5" t="n">
        <v>3.5</v>
      </c>
      <c r="J150" s="5" t="n">
        <v>99.7</v>
      </c>
      <c r="K150" s="5" t="n">
        <v>11</v>
      </c>
    </row>
    <row r="151" customFormat="false" ht="15" hidden="false" customHeight="false" outlineLevel="0" collapsed="false">
      <c r="A151" s="5" t="n">
        <v>365</v>
      </c>
      <c r="B151" s="5" t="n">
        <v>40</v>
      </c>
      <c r="C151" s="5" t="n">
        <v>23.2</v>
      </c>
      <c r="D151" s="5" t="n">
        <v>22.5</v>
      </c>
      <c r="E151" s="5" t="n">
        <v>12.9</v>
      </c>
      <c r="F151" s="5" t="n">
        <v>0</v>
      </c>
      <c r="G151" s="5" t="n">
        <v>8.7</v>
      </c>
      <c r="H151" s="5" t="n">
        <v>5.7</v>
      </c>
      <c r="I151" s="5" t="n">
        <v>2.5</v>
      </c>
      <c r="J151" s="5" t="n">
        <v>148.6</v>
      </c>
      <c r="K151" s="5" t="n">
        <v>11</v>
      </c>
    </row>
    <row r="152" customFormat="false" ht="15" hidden="false" customHeight="false" outlineLevel="0" collapsed="false">
      <c r="A152" s="5" t="n">
        <v>370</v>
      </c>
      <c r="B152" s="5" t="n">
        <v>16</v>
      </c>
      <c r="C152" s="5" t="n">
        <v>2.4</v>
      </c>
      <c r="D152" s="5" t="n">
        <v>162.3</v>
      </c>
      <c r="E152" s="5" t="n">
        <v>36.2</v>
      </c>
      <c r="F152" s="5" t="n">
        <v>0</v>
      </c>
      <c r="G152" s="5" t="n">
        <v>7.1</v>
      </c>
      <c r="H152" s="5" t="n">
        <v>3.4</v>
      </c>
      <c r="I152" s="5" t="n">
        <v>1.7</v>
      </c>
      <c r="J152" s="5" t="n">
        <v>169.9</v>
      </c>
      <c r="K152" s="5" t="n">
        <v>11</v>
      </c>
    </row>
    <row r="155" customFormat="false" ht="15" hidden="false" customHeight="false" outlineLevel="0" collapsed="false">
      <c r="A155" s="3" t="s">
        <v>35</v>
      </c>
    </row>
    <row r="156" customFormat="false" ht="30" hidden="false" customHeight="true" outlineLevel="0" collapsed="false">
      <c r="A156" s="4" t="s">
        <v>831</v>
      </c>
      <c r="B156" s="4" t="s">
        <v>832</v>
      </c>
      <c r="C156" s="4" t="s">
        <v>833</v>
      </c>
      <c r="D156" s="4" t="s">
        <v>29</v>
      </c>
      <c r="E156" s="4" t="s">
        <v>655</v>
      </c>
      <c r="F156" s="4" t="s">
        <v>534</v>
      </c>
      <c r="G156" s="4" t="s">
        <v>821</v>
      </c>
      <c r="H156" s="4" t="s">
        <v>834</v>
      </c>
      <c r="I156" s="4" t="s">
        <v>835</v>
      </c>
      <c r="J156" s="4" t="s">
        <v>836</v>
      </c>
      <c r="K156" s="4" t="s">
        <v>837</v>
      </c>
    </row>
    <row r="157" customFormat="false" ht="15" hidden="false" customHeight="false" outlineLevel="0" collapsed="false">
      <c r="A157" s="5" t="n">
        <v>0</v>
      </c>
      <c r="B157" s="5" t="n">
        <v>1</v>
      </c>
      <c r="C157" s="5" t="n">
        <v>27.4</v>
      </c>
      <c r="D157" s="5" t="n">
        <v>18.4</v>
      </c>
      <c r="E157" s="5" t="n">
        <v>8.8</v>
      </c>
      <c r="F157" s="5" t="n">
        <v>0</v>
      </c>
      <c r="G157" s="5" t="n">
        <v>17</v>
      </c>
      <c r="H157" s="5" t="n">
        <v>15.6</v>
      </c>
      <c r="I157" s="5" t="n">
        <v>3.8</v>
      </c>
      <c r="J157" s="5" t="n">
        <v>201.9</v>
      </c>
      <c r="K157" s="5" t="n">
        <v>11</v>
      </c>
    </row>
    <row r="158" customFormat="false" ht="15" hidden="false" customHeight="false" outlineLevel="0" collapsed="false">
      <c r="A158" s="5" t="n">
        <v>5</v>
      </c>
      <c r="B158" s="5" t="n">
        <v>1</v>
      </c>
      <c r="C158" s="5" t="n">
        <v>37.8</v>
      </c>
      <c r="D158" s="5" t="n">
        <v>18</v>
      </c>
      <c r="E158" s="5" t="n">
        <v>8.2</v>
      </c>
      <c r="F158" s="5" t="n">
        <v>0</v>
      </c>
      <c r="G158" s="5" t="n">
        <v>14.3</v>
      </c>
      <c r="H158" s="5" t="n">
        <v>14.7</v>
      </c>
      <c r="I158" s="5" t="n">
        <v>2.6</v>
      </c>
      <c r="J158" s="5" t="n">
        <v>242.1</v>
      </c>
      <c r="K158" s="5" t="n">
        <v>11</v>
      </c>
    </row>
    <row r="159" customFormat="false" ht="15" hidden="false" customHeight="false" outlineLevel="0" collapsed="false">
      <c r="A159" s="5" t="n">
        <v>10</v>
      </c>
      <c r="B159" s="5" t="n">
        <v>0</v>
      </c>
      <c r="C159" s="5" t="n">
        <v>40.8</v>
      </c>
      <c r="D159" s="5" t="n">
        <v>18.1</v>
      </c>
      <c r="E159" s="5" t="n">
        <v>8.6</v>
      </c>
      <c r="F159" s="5" t="n">
        <v>0</v>
      </c>
      <c r="G159" s="5" t="n">
        <v>16.1</v>
      </c>
      <c r="H159" s="5" t="n">
        <v>17.1</v>
      </c>
      <c r="I159" s="5" t="n">
        <v>2.9</v>
      </c>
      <c r="J159" s="5" t="n">
        <v>282.7</v>
      </c>
      <c r="K159" s="5" t="n">
        <v>11</v>
      </c>
    </row>
    <row r="160" customFormat="false" ht="15" hidden="false" customHeight="false" outlineLevel="0" collapsed="false">
      <c r="A160" s="5" t="n">
        <v>15</v>
      </c>
      <c r="B160" s="5" t="n">
        <v>1</v>
      </c>
      <c r="C160" s="5" t="n">
        <v>50.2</v>
      </c>
      <c r="D160" s="5" t="n">
        <v>17.5</v>
      </c>
      <c r="E160" s="5" t="n">
        <v>8.2</v>
      </c>
      <c r="F160" s="5" t="n">
        <v>0</v>
      </c>
      <c r="G160" s="5" t="n">
        <v>20.1</v>
      </c>
      <c r="H160" s="5" t="n">
        <v>19.6</v>
      </c>
      <c r="I160" s="5" t="n">
        <v>3</v>
      </c>
      <c r="J160" s="5" t="n">
        <v>181.4</v>
      </c>
      <c r="K160" s="5" t="n">
        <v>11</v>
      </c>
    </row>
    <row r="161" customFormat="false" ht="15" hidden="false" customHeight="false" outlineLevel="0" collapsed="false">
      <c r="A161" s="5" t="n">
        <v>20</v>
      </c>
      <c r="B161" s="5" t="n">
        <v>1</v>
      </c>
      <c r="C161" s="5" t="n">
        <v>55</v>
      </c>
      <c r="D161" s="5" t="n">
        <v>16.8</v>
      </c>
      <c r="E161" s="5" t="n">
        <v>7.9</v>
      </c>
      <c r="F161" s="5" t="n">
        <v>0</v>
      </c>
      <c r="G161" s="5" t="n">
        <v>11</v>
      </c>
      <c r="H161" s="5" t="n">
        <v>11.7</v>
      </c>
      <c r="I161" s="5" t="n">
        <v>3.3</v>
      </c>
      <c r="J161" s="5" t="n">
        <v>96.9</v>
      </c>
      <c r="K161" s="5" t="n">
        <v>11</v>
      </c>
    </row>
    <row r="162" customFormat="false" ht="15" hidden="false" customHeight="false" outlineLevel="0" collapsed="false">
      <c r="A162" s="5" t="n">
        <v>25</v>
      </c>
      <c r="B162" s="5" t="n">
        <v>1</v>
      </c>
      <c r="C162" s="5" t="n">
        <v>78.2</v>
      </c>
      <c r="D162" s="5" t="n">
        <v>16.2</v>
      </c>
      <c r="E162" s="5" t="n">
        <v>7.7</v>
      </c>
      <c r="F162" s="5" t="n">
        <v>0</v>
      </c>
      <c r="G162" s="5" t="n">
        <v>19.2</v>
      </c>
      <c r="H162" s="5" t="n">
        <v>21.9</v>
      </c>
      <c r="I162" s="5" t="n">
        <v>3.4</v>
      </c>
      <c r="J162" s="5" t="n">
        <v>169.2</v>
      </c>
      <c r="K162" s="5" t="n">
        <v>11</v>
      </c>
    </row>
    <row r="163" customFormat="false" ht="15" hidden="false" customHeight="false" outlineLevel="0" collapsed="false">
      <c r="A163" s="5" t="n">
        <v>30</v>
      </c>
      <c r="B163" s="5" t="n">
        <v>1</v>
      </c>
      <c r="C163" s="5" t="n">
        <v>61</v>
      </c>
      <c r="D163" s="5" t="n">
        <v>16.2</v>
      </c>
      <c r="E163" s="5" t="n">
        <v>7.4</v>
      </c>
      <c r="F163" s="5" t="n">
        <v>0</v>
      </c>
      <c r="G163" s="5" t="n">
        <v>20.5</v>
      </c>
      <c r="H163" s="5" t="n">
        <v>22</v>
      </c>
      <c r="I163" s="5" t="n">
        <v>3.8</v>
      </c>
      <c r="J163" s="5" t="n">
        <v>241.9</v>
      </c>
      <c r="K163" s="5" t="n">
        <v>11</v>
      </c>
    </row>
    <row r="164" customFormat="false" ht="15" hidden="false" customHeight="false" outlineLevel="0" collapsed="false">
      <c r="A164" s="5" t="n">
        <v>35</v>
      </c>
      <c r="B164" s="5" t="n">
        <v>1</v>
      </c>
      <c r="C164" s="5" t="n">
        <v>61.2</v>
      </c>
      <c r="D164" s="5" t="n">
        <v>16.4</v>
      </c>
      <c r="E164" s="5" t="n">
        <v>7.5</v>
      </c>
      <c r="F164" s="5" t="n">
        <v>0</v>
      </c>
      <c r="G164" s="5" t="n">
        <v>20.3</v>
      </c>
      <c r="H164" s="5" t="n">
        <v>22.4</v>
      </c>
      <c r="I164" s="5" t="n">
        <v>3.9</v>
      </c>
      <c r="J164" s="5" t="n">
        <v>305.7</v>
      </c>
      <c r="K164" s="5" t="n">
        <v>11</v>
      </c>
    </row>
    <row r="165" customFormat="false" ht="15" hidden="false" customHeight="false" outlineLevel="0" collapsed="false">
      <c r="A165" s="5" t="n">
        <v>40</v>
      </c>
      <c r="B165" s="5" t="n">
        <v>1</v>
      </c>
      <c r="C165" s="5" t="n">
        <v>61.8</v>
      </c>
      <c r="D165" s="5" t="n">
        <v>16.9</v>
      </c>
      <c r="E165" s="5" t="n">
        <v>7.5</v>
      </c>
      <c r="F165" s="5" t="n">
        <v>0</v>
      </c>
      <c r="G165" s="5" t="n">
        <v>20.4</v>
      </c>
      <c r="H165" s="5" t="n">
        <v>23</v>
      </c>
      <c r="I165" s="5" t="n">
        <v>3.8</v>
      </c>
      <c r="J165" s="5" t="n">
        <v>70.6</v>
      </c>
      <c r="K165" s="5" t="n">
        <v>11</v>
      </c>
    </row>
    <row r="166" customFormat="false" ht="15" hidden="false" customHeight="false" outlineLevel="0" collapsed="false">
      <c r="A166" s="5" t="n">
        <v>45</v>
      </c>
      <c r="B166" s="5" t="n">
        <v>1</v>
      </c>
      <c r="C166" s="5" t="n">
        <v>64.8</v>
      </c>
      <c r="D166" s="5" t="n">
        <v>16</v>
      </c>
      <c r="E166" s="5" t="n">
        <v>7.5</v>
      </c>
      <c r="F166" s="5" t="n">
        <v>0</v>
      </c>
      <c r="G166" s="5" t="n">
        <v>19.9</v>
      </c>
      <c r="H166" s="5" t="n">
        <v>23.6</v>
      </c>
      <c r="I166" s="5" t="n">
        <v>3.7</v>
      </c>
      <c r="J166" s="5" t="n">
        <v>138</v>
      </c>
      <c r="K166" s="5" t="n">
        <v>11</v>
      </c>
    </row>
    <row r="167" customFormat="false" ht="15" hidden="false" customHeight="false" outlineLevel="0" collapsed="false">
      <c r="A167" s="5" t="n">
        <v>50</v>
      </c>
      <c r="B167" s="5" t="n">
        <v>1</v>
      </c>
      <c r="C167" s="5" t="n">
        <v>60.2</v>
      </c>
      <c r="D167" s="5" t="n">
        <v>16.2</v>
      </c>
      <c r="E167" s="5" t="n">
        <v>7.4</v>
      </c>
      <c r="F167" s="5" t="n">
        <v>0</v>
      </c>
      <c r="G167" s="5" t="n">
        <v>19.2</v>
      </c>
      <c r="H167" s="5" t="n">
        <v>22.2</v>
      </c>
      <c r="I167" s="5" t="n">
        <v>3.5</v>
      </c>
      <c r="J167" s="5" t="n">
        <v>197.6</v>
      </c>
      <c r="K167" s="5" t="n">
        <v>11</v>
      </c>
    </row>
    <row r="168" customFormat="false" ht="15" hidden="false" customHeight="false" outlineLevel="0" collapsed="false">
      <c r="A168" s="5" t="n">
        <v>55</v>
      </c>
      <c r="B168" s="5" t="n">
        <v>1</v>
      </c>
      <c r="C168" s="5" t="n">
        <v>80.8</v>
      </c>
      <c r="D168" s="5" t="n">
        <v>16.3</v>
      </c>
      <c r="E168" s="5" t="n">
        <v>7.3</v>
      </c>
      <c r="F168" s="5" t="n">
        <v>0</v>
      </c>
      <c r="G168" s="5" t="n">
        <v>11.9</v>
      </c>
      <c r="H168" s="5" t="n">
        <v>13.3</v>
      </c>
      <c r="I168" s="5" t="n">
        <v>3.4</v>
      </c>
      <c r="J168" s="5" t="n">
        <v>267.5</v>
      </c>
      <c r="K168" s="5" t="n">
        <v>11</v>
      </c>
    </row>
    <row r="169" customFormat="false" ht="15" hidden="false" customHeight="false" outlineLevel="0" collapsed="false">
      <c r="A169" s="5" t="n">
        <v>60</v>
      </c>
      <c r="B169" s="5" t="n">
        <v>1</v>
      </c>
      <c r="C169" s="5" t="n">
        <v>62</v>
      </c>
      <c r="D169" s="5" t="n">
        <v>15.9</v>
      </c>
      <c r="E169" s="5" t="n">
        <v>7.3</v>
      </c>
      <c r="F169" s="5" t="n">
        <v>0</v>
      </c>
      <c r="G169" s="5" t="n">
        <v>19.3</v>
      </c>
      <c r="H169" s="5" t="n">
        <v>21.5</v>
      </c>
      <c r="I169" s="5" t="n">
        <v>3.6</v>
      </c>
      <c r="J169" s="5" t="n">
        <v>166.2</v>
      </c>
      <c r="K169" s="5" t="n">
        <v>11</v>
      </c>
    </row>
    <row r="170" customFormat="false" ht="15" hidden="false" customHeight="false" outlineLevel="0" collapsed="false">
      <c r="A170" s="5" t="n">
        <v>65</v>
      </c>
      <c r="B170" s="5" t="n">
        <v>0</v>
      </c>
      <c r="C170" s="5" t="n">
        <v>56.6</v>
      </c>
      <c r="D170" s="5" t="n">
        <v>15.8</v>
      </c>
      <c r="E170" s="5" t="n">
        <v>7.3</v>
      </c>
      <c r="F170" s="5" t="n">
        <v>0</v>
      </c>
      <c r="G170" s="5" t="n">
        <v>18.1</v>
      </c>
      <c r="H170" s="5" t="n">
        <v>21.1</v>
      </c>
      <c r="I170" s="5" t="n">
        <v>3.5</v>
      </c>
      <c r="J170" s="5" t="n">
        <v>104.2</v>
      </c>
      <c r="K170" s="5" t="n">
        <v>11</v>
      </c>
    </row>
    <row r="171" customFormat="false" ht="15" hidden="false" customHeight="false" outlineLevel="0" collapsed="false">
      <c r="A171" s="5" t="n">
        <v>70</v>
      </c>
      <c r="B171" s="5" t="n">
        <v>1</v>
      </c>
      <c r="C171" s="5" t="n">
        <v>60.8</v>
      </c>
      <c r="D171" s="5" t="n">
        <v>16.2</v>
      </c>
      <c r="E171" s="5" t="n">
        <v>7.4</v>
      </c>
      <c r="F171" s="5" t="n">
        <v>0</v>
      </c>
      <c r="G171" s="5" t="n">
        <v>19.1</v>
      </c>
      <c r="H171" s="5" t="n">
        <v>21.6</v>
      </c>
      <c r="I171" s="5" t="n">
        <v>3.7</v>
      </c>
      <c r="J171" s="5" t="n">
        <v>166.4</v>
      </c>
      <c r="K171" s="5" t="n">
        <v>11</v>
      </c>
    </row>
    <row r="172" customFormat="false" ht="15" hidden="false" customHeight="false" outlineLevel="0" collapsed="false">
      <c r="A172" s="5" t="n">
        <v>75</v>
      </c>
      <c r="B172" s="5" t="n">
        <v>1</v>
      </c>
      <c r="C172" s="5" t="n">
        <v>59.8</v>
      </c>
      <c r="D172" s="5" t="n">
        <v>15.8</v>
      </c>
      <c r="E172" s="5" t="n">
        <v>7.4</v>
      </c>
      <c r="F172" s="5" t="n">
        <v>0</v>
      </c>
      <c r="G172" s="5" t="n">
        <v>19.3</v>
      </c>
      <c r="H172" s="5" t="n">
        <v>21.8</v>
      </c>
      <c r="I172" s="5" t="n">
        <v>3.7</v>
      </c>
      <c r="J172" s="5" t="n">
        <v>232.6</v>
      </c>
      <c r="K172" s="5" t="n">
        <v>11</v>
      </c>
    </row>
    <row r="173" customFormat="false" ht="15" hidden="false" customHeight="false" outlineLevel="0" collapsed="false">
      <c r="A173" s="5" t="n">
        <v>80</v>
      </c>
      <c r="B173" s="5" t="n">
        <v>1</v>
      </c>
      <c r="C173" s="5" t="n">
        <v>61.6</v>
      </c>
      <c r="D173" s="5" t="n">
        <v>16.2</v>
      </c>
      <c r="E173" s="5" t="n">
        <v>7.7</v>
      </c>
      <c r="F173" s="5" t="n">
        <v>0</v>
      </c>
      <c r="G173" s="5" t="n">
        <v>20.2</v>
      </c>
      <c r="H173" s="5" t="n">
        <v>23.2</v>
      </c>
      <c r="I173" s="5" t="n">
        <v>3.8</v>
      </c>
      <c r="J173" s="5" t="n">
        <v>309.4</v>
      </c>
      <c r="K173" s="5" t="n">
        <v>11</v>
      </c>
    </row>
    <row r="174" customFormat="false" ht="15" hidden="false" customHeight="false" outlineLevel="0" collapsed="false">
      <c r="A174" s="5" t="n">
        <v>85</v>
      </c>
      <c r="B174" s="5" t="n">
        <v>1</v>
      </c>
      <c r="C174" s="5" t="n">
        <v>84.8</v>
      </c>
      <c r="D174" s="5" t="n">
        <v>16.6</v>
      </c>
      <c r="E174" s="5" t="n">
        <v>7.4</v>
      </c>
      <c r="F174" s="5" t="n">
        <v>0</v>
      </c>
      <c r="G174" s="5" t="n">
        <v>10.8</v>
      </c>
      <c r="H174" s="5" t="n">
        <v>12</v>
      </c>
      <c r="I174" s="5" t="n">
        <v>3.6</v>
      </c>
      <c r="J174" s="5" t="n">
        <v>77.6</v>
      </c>
      <c r="K174" s="5" t="n">
        <v>11</v>
      </c>
    </row>
    <row r="175" customFormat="false" ht="15" hidden="false" customHeight="false" outlineLevel="0" collapsed="false">
      <c r="A175" s="5" t="n">
        <v>90</v>
      </c>
      <c r="B175" s="5" t="n">
        <v>1</v>
      </c>
      <c r="C175" s="5" t="n">
        <v>74.2</v>
      </c>
      <c r="D175" s="5" t="n">
        <v>16.3</v>
      </c>
      <c r="E175" s="5" t="n">
        <v>7.3</v>
      </c>
      <c r="F175" s="5" t="n">
        <v>0</v>
      </c>
      <c r="G175" s="5" t="n">
        <v>22.6</v>
      </c>
      <c r="H175" s="5" t="n">
        <v>26.4</v>
      </c>
      <c r="I175" s="5" t="n">
        <v>3.9</v>
      </c>
      <c r="J175" s="5" t="n">
        <v>158.8</v>
      </c>
      <c r="K175" s="5" t="n">
        <v>11</v>
      </c>
    </row>
    <row r="176" customFormat="false" ht="15" hidden="false" customHeight="false" outlineLevel="0" collapsed="false">
      <c r="A176" s="5" t="n">
        <v>95</v>
      </c>
      <c r="B176" s="5" t="n">
        <v>1</v>
      </c>
      <c r="C176" s="5" t="n">
        <v>82.8</v>
      </c>
      <c r="D176" s="5" t="n">
        <v>15.8</v>
      </c>
      <c r="E176" s="5" t="n">
        <v>7.3</v>
      </c>
      <c r="F176" s="5" t="n">
        <v>0</v>
      </c>
      <c r="G176" s="5" t="n">
        <v>26</v>
      </c>
      <c r="H176" s="5" t="n">
        <v>30.9</v>
      </c>
      <c r="I176" s="5" t="n">
        <v>4.5</v>
      </c>
      <c r="J176" s="5" t="n">
        <v>243</v>
      </c>
      <c r="K176" s="5" t="n">
        <v>11</v>
      </c>
    </row>
    <row r="177" customFormat="false" ht="15" hidden="false" customHeight="false" outlineLevel="0" collapsed="false">
      <c r="A177" s="5" t="n">
        <v>100</v>
      </c>
      <c r="B177" s="5" t="n">
        <v>1</v>
      </c>
      <c r="C177" s="5" t="n">
        <v>93</v>
      </c>
      <c r="D177" s="5" t="n">
        <v>15.8</v>
      </c>
      <c r="E177" s="5" t="n">
        <v>7.5</v>
      </c>
      <c r="F177" s="5" t="n">
        <v>0</v>
      </c>
      <c r="G177" s="5" t="n">
        <v>29.3</v>
      </c>
      <c r="H177" s="5" t="n">
        <v>34.8</v>
      </c>
      <c r="I177" s="5" t="n">
        <v>4.9</v>
      </c>
      <c r="J177" s="5" t="n">
        <v>159.6</v>
      </c>
      <c r="K177" s="5" t="n">
        <v>11</v>
      </c>
    </row>
    <row r="178" customFormat="false" ht="15" hidden="false" customHeight="false" outlineLevel="0" collapsed="false">
      <c r="A178" s="5" t="n">
        <v>105</v>
      </c>
      <c r="B178" s="5" t="n">
        <v>1</v>
      </c>
      <c r="C178" s="5" t="n">
        <v>104.2</v>
      </c>
      <c r="D178" s="5" t="n">
        <v>16.1</v>
      </c>
      <c r="E178" s="5" t="n">
        <v>7.3</v>
      </c>
      <c r="F178" s="5" t="n">
        <v>0</v>
      </c>
      <c r="G178" s="5" t="n">
        <v>32.9</v>
      </c>
      <c r="H178" s="5" t="n">
        <v>38.5</v>
      </c>
      <c r="I178" s="5" t="n">
        <v>5.6</v>
      </c>
      <c r="J178" s="5" t="n">
        <v>146.6</v>
      </c>
      <c r="K178" s="5" t="n">
        <v>11</v>
      </c>
    </row>
    <row r="179" customFormat="false" ht="15" hidden="false" customHeight="false" outlineLevel="0" collapsed="false">
      <c r="A179" s="5" t="n">
        <v>110</v>
      </c>
      <c r="B179" s="5" t="n">
        <v>1</v>
      </c>
      <c r="C179" s="5" t="n">
        <v>116.4</v>
      </c>
      <c r="D179" s="5" t="n">
        <v>15.8</v>
      </c>
      <c r="E179" s="5" t="n">
        <v>7.2</v>
      </c>
      <c r="F179" s="5" t="n">
        <v>0</v>
      </c>
      <c r="G179" s="5" t="n">
        <v>34.1</v>
      </c>
      <c r="H179" s="5" t="n">
        <v>41.2</v>
      </c>
      <c r="I179" s="5" t="n">
        <v>5.9</v>
      </c>
      <c r="J179" s="5" t="n">
        <v>263.4</v>
      </c>
      <c r="K179" s="5" t="n">
        <v>11</v>
      </c>
    </row>
    <row r="180" customFormat="false" ht="15" hidden="false" customHeight="false" outlineLevel="0" collapsed="false">
      <c r="A180" s="5" t="n">
        <v>115</v>
      </c>
      <c r="B180" s="5" t="n">
        <v>2</v>
      </c>
      <c r="C180" s="5" t="n">
        <v>164.2</v>
      </c>
      <c r="D180" s="5" t="n">
        <v>15.6</v>
      </c>
      <c r="E180" s="5" t="n">
        <v>7</v>
      </c>
      <c r="F180" s="5" t="n">
        <v>0</v>
      </c>
      <c r="G180" s="5" t="n">
        <v>21.1</v>
      </c>
      <c r="H180" s="5" t="n">
        <v>24.3</v>
      </c>
      <c r="I180" s="5" t="n">
        <v>6.4</v>
      </c>
      <c r="J180" s="5" t="n">
        <v>101</v>
      </c>
      <c r="K180" s="5" t="n">
        <v>11</v>
      </c>
    </row>
    <row r="181" customFormat="false" ht="15" hidden="false" customHeight="false" outlineLevel="0" collapsed="false">
      <c r="A181" s="5" t="n">
        <v>120</v>
      </c>
      <c r="B181" s="5" t="n">
        <v>1</v>
      </c>
      <c r="C181" s="5" t="n">
        <v>121</v>
      </c>
      <c r="D181" s="5" t="n">
        <v>16.1</v>
      </c>
      <c r="E181" s="5" t="n">
        <v>7.3</v>
      </c>
      <c r="F181" s="5" t="n">
        <v>0</v>
      </c>
      <c r="G181" s="5" t="n">
        <v>36.4</v>
      </c>
      <c r="H181" s="5" t="n">
        <v>43.5</v>
      </c>
      <c r="I181" s="5" t="n">
        <v>6.2</v>
      </c>
      <c r="J181" s="5" t="n">
        <v>241.2</v>
      </c>
      <c r="K181" s="5" t="n">
        <v>11</v>
      </c>
    </row>
    <row r="182" customFormat="false" ht="15" hidden="false" customHeight="false" outlineLevel="0" collapsed="false">
      <c r="A182" s="5" t="n">
        <v>125</v>
      </c>
      <c r="B182" s="5" t="n">
        <v>1</v>
      </c>
      <c r="C182" s="5" t="n">
        <v>121.2</v>
      </c>
      <c r="D182" s="5" t="n">
        <v>15.8</v>
      </c>
      <c r="E182" s="5" t="n">
        <v>7.2</v>
      </c>
      <c r="F182" s="5" t="n">
        <v>0</v>
      </c>
      <c r="G182" s="5" t="n">
        <v>36.3</v>
      </c>
      <c r="H182" s="5" t="n">
        <v>43.4</v>
      </c>
      <c r="I182" s="5" t="n">
        <v>6.4</v>
      </c>
      <c r="J182" s="5" t="n">
        <v>124.6</v>
      </c>
      <c r="K182" s="5" t="n">
        <v>11</v>
      </c>
    </row>
    <row r="183" customFormat="false" ht="15" hidden="false" customHeight="false" outlineLevel="0" collapsed="false">
      <c r="A183" s="5" t="n">
        <v>130</v>
      </c>
      <c r="B183" s="5" t="n">
        <v>2</v>
      </c>
      <c r="C183" s="5" t="n">
        <v>121.6</v>
      </c>
      <c r="D183" s="5" t="n">
        <v>15.7</v>
      </c>
      <c r="E183" s="5" t="n">
        <v>7.1</v>
      </c>
      <c r="F183" s="5" t="n">
        <v>0</v>
      </c>
      <c r="G183" s="5" t="n">
        <v>36.6</v>
      </c>
      <c r="H183" s="5" t="n">
        <v>43.1</v>
      </c>
      <c r="I183" s="5" t="n">
        <v>6.8</v>
      </c>
      <c r="J183" s="5" t="n">
        <v>192.4</v>
      </c>
      <c r="K183" s="5" t="n">
        <v>11</v>
      </c>
    </row>
    <row r="184" customFormat="false" ht="15" hidden="false" customHeight="false" outlineLevel="0" collapsed="false">
      <c r="A184" s="5" t="n">
        <v>135</v>
      </c>
      <c r="B184" s="5" t="n">
        <v>1</v>
      </c>
      <c r="C184" s="5" t="n">
        <v>123.6</v>
      </c>
      <c r="D184" s="5" t="n">
        <v>15.9</v>
      </c>
      <c r="E184" s="5" t="n">
        <v>7.3</v>
      </c>
      <c r="F184" s="5" t="n">
        <v>0</v>
      </c>
      <c r="G184" s="5" t="n">
        <v>37</v>
      </c>
      <c r="H184" s="5" t="n">
        <v>44.5</v>
      </c>
      <c r="I184" s="5" t="n">
        <v>6.3</v>
      </c>
      <c r="J184" s="5" t="n">
        <v>199.7</v>
      </c>
      <c r="K184" s="5" t="n">
        <v>11</v>
      </c>
    </row>
    <row r="185" customFormat="false" ht="15" hidden="false" customHeight="false" outlineLevel="0" collapsed="false">
      <c r="A185" s="5" t="n">
        <v>140</v>
      </c>
      <c r="B185" s="5" t="n">
        <v>2</v>
      </c>
      <c r="C185" s="5" t="n">
        <v>121.2</v>
      </c>
      <c r="D185" s="5" t="n">
        <v>15.8</v>
      </c>
      <c r="E185" s="5" t="n">
        <v>6.8</v>
      </c>
      <c r="F185" s="5" t="n">
        <v>0</v>
      </c>
      <c r="G185" s="5" t="n">
        <v>34.6</v>
      </c>
      <c r="H185" s="5" t="n">
        <v>40.3</v>
      </c>
      <c r="I185" s="5" t="n">
        <v>5.8</v>
      </c>
      <c r="J185" s="5" t="n">
        <v>162.6</v>
      </c>
      <c r="K185" s="5" t="n">
        <v>11</v>
      </c>
    </row>
    <row r="186" customFormat="false" ht="15" hidden="false" customHeight="false" outlineLevel="0" collapsed="false">
      <c r="A186" s="5" t="n">
        <v>145</v>
      </c>
      <c r="B186" s="5" t="n">
        <v>2</v>
      </c>
      <c r="C186" s="5" t="n">
        <v>162.2</v>
      </c>
      <c r="D186" s="5" t="n">
        <v>16.1</v>
      </c>
      <c r="E186" s="5" t="n">
        <v>7.4</v>
      </c>
      <c r="F186" s="5" t="n">
        <v>0</v>
      </c>
      <c r="G186" s="5" t="n">
        <v>20.1</v>
      </c>
      <c r="H186" s="5" t="n">
        <v>22.8</v>
      </c>
      <c r="I186" s="5" t="n">
        <v>6.7</v>
      </c>
      <c r="J186" s="5" t="n">
        <v>208.7</v>
      </c>
      <c r="K186" s="5" t="n">
        <v>11</v>
      </c>
    </row>
    <row r="187" customFormat="false" ht="15" hidden="false" customHeight="false" outlineLevel="0" collapsed="false">
      <c r="A187" s="5" t="n">
        <v>150</v>
      </c>
      <c r="B187" s="5" t="n">
        <v>1</v>
      </c>
      <c r="C187" s="5" t="n">
        <v>123.8</v>
      </c>
      <c r="D187" s="5" t="n">
        <v>15.4</v>
      </c>
      <c r="E187" s="5" t="n">
        <v>7</v>
      </c>
      <c r="F187" s="5" t="n">
        <v>0</v>
      </c>
      <c r="G187" s="5" t="n">
        <v>35.8</v>
      </c>
      <c r="H187" s="5" t="n">
        <v>42.1</v>
      </c>
      <c r="I187" s="5" t="n">
        <v>6.3</v>
      </c>
      <c r="J187" s="5" t="n">
        <v>149.2</v>
      </c>
      <c r="K187" s="5" t="n">
        <v>11</v>
      </c>
    </row>
    <row r="188" customFormat="false" ht="15" hidden="false" customHeight="false" outlineLevel="0" collapsed="false">
      <c r="A188" s="5" t="n">
        <v>155</v>
      </c>
      <c r="B188" s="5" t="n">
        <v>2</v>
      </c>
      <c r="C188" s="5" t="n">
        <v>119.4</v>
      </c>
      <c r="D188" s="5" t="n">
        <v>15.7</v>
      </c>
      <c r="E188" s="5" t="n">
        <v>7</v>
      </c>
      <c r="F188" s="5" t="n">
        <v>0</v>
      </c>
      <c r="G188" s="5" t="n">
        <v>34.8</v>
      </c>
      <c r="H188" s="5" t="n">
        <v>41.3</v>
      </c>
      <c r="I188" s="5" t="n">
        <v>6</v>
      </c>
      <c r="J188" s="5" t="n">
        <v>272</v>
      </c>
      <c r="K188" s="5" t="n">
        <v>11</v>
      </c>
    </row>
    <row r="189" customFormat="false" ht="15" hidden="false" customHeight="false" outlineLevel="0" collapsed="false">
      <c r="A189" s="5" t="n">
        <v>160</v>
      </c>
      <c r="B189" s="5" t="n">
        <v>1</v>
      </c>
      <c r="C189" s="5" t="n">
        <v>121.4</v>
      </c>
      <c r="D189" s="5" t="n">
        <v>15.8</v>
      </c>
      <c r="E189" s="5" t="n">
        <v>7.3</v>
      </c>
      <c r="F189" s="5" t="n">
        <v>0</v>
      </c>
      <c r="G189" s="5" t="n">
        <v>36.6</v>
      </c>
      <c r="H189" s="5" t="n">
        <v>43.7</v>
      </c>
      <c r="I189" s="5" t="n">
        <v>6.2</v>
      </c>
      <c r="J189" s="5" t="n">
        <v>95.6</v>
      </c>
      <c r="K189" s="5" t="n">
        <v>11</v>
      </c>
    </row>
    <row r="190" customFormat="false" ht="15" hidden="false" customHeight="false" outlineLevel="0" collapsed="false">
      <c r="A190" s="5" t="n">
        <v>165</v>
      </c>
      <c r="B190" s="5" t="n">
        <v>1</v>
      </c>
      <c r="C190" s="5" t="n">
        <v>125.2</v>
      </c>
      <c r="D190" s="5" t="n">
        <v>15.4</v>
      </c>
      <c r="E190" s="5" t="n">
        <v>7</v>
      </c>
      <c r="F190" s="5" t="n">
        <v>0</v>
      </c>
      <c r="G190" s="5" t="n">
        <v>36</v>
      </c>
      <c r="H190" s="5" t="n">
        <v>42.3</v>
      </c>
      <c r="I190" s="5" t="n">
        <v>6.6</v>
      </c>
      <c r="J190" s="5" t="n">
        <v>225</v>
      </c>
      <c r="K190" s="5" t="n">
        <v>11</v>
      </c>
    </row>
    <row r="191" customFormat="false" ht="15" hidden="false" customHeight="false" outlineLevel="0" collapsed="false">
      <c r="A191" s="5" t="n">
        <v>170</v>
      </c>
      <c r="B191" s="5" t="n">
        <v>1</v>
      </c>
      <c r="C191" s="5" t="n">
        <v>122.6</v>
      </c>
      <c r="D191" s="5" t="n">
        <v>15.6</v>
      </c>
      <c r="E191" s="5" t="n">
        <v>6.9</v>
      </c>
      <c r="F191" s="5" t="n">
        <v>0</v>
      </c>
      <c r="G191" s="5" t="n">
        <v>36</v>
      </c>
      <c r="H191" s="5" t="n">
        <v>42.2</v>
      </c>
      <c r="I191" s="5" t="n">
        <v>6.3</v>
      </c>
      <c r="J191" s="5" t="n">
        <v>169.5</v>
      </c>
      <c r="K191" s="5" t="n">
        <v>11</v>
      </c>
    </row>
    <row r="192" customFormat="false" ht="15" hidden="false" customHeight="false" outlineLevel="0" collapsed="false">
      <c r="A192" s="5" t="n">
        <v>175</v>
      </c>
      <c r="B192" s="5" t="n">
        <v>2</v>
      </c>
      <c r="C192" s="5" t="n">
        <v>190.6</v>
      </c>
      <c r="D192" s="5" t="n">
        <v>15.9</v>
      </c>
      <c r="E192" s="5" t="n">
        <v>7.2</v>
      </c>
      <c r="F192" s="5" t="n">
        <v>0</v>
      </c>
      <c r="G192" s="5" t="n">
        <v>26.7</v>
      </c>
      <c r="H192" s="5" t="n">
        <v>32.7</v>
      </c>
      <c r="I192" s="5" t="n">
        <v>7.2</v>
      </c>
      <c r="J192" s="5" t="n">
        <v>218.2</v>
      </c>
      <c r="K192" s="5" t="n">
        <v>11</v>
      </c>
    </row>
    <row r="193" customFormat="false" ht="15" hidden="false" customHeight="false" outlineLevel="0" collapsed="false">
      <c r="A193" s="5" t="n">
        <v>180</v>
      </c>
      <c r="B193" s="5" t="n">
        <v>2</v>
      </c>
      <c r="C193" s="5" t="n">
        <v>169.6</v>
      </c>
      <c r="D193" s="5" t="n">
        <v>15.5</v>
      </c>
      <c r="E193" s="5" t="n">
        <v>7.2</v>
      </c>
      <c r="F193" s="5" t="n">
        <v>0</v>
      </c>
      <c r="G193" s="5" t="n">
        <v>51.7</v>
      </c>
      <c r="H193" s="5" t="n">
        <v>62</v>
      </c>
      <c r="I193" s="5" t="n">
        <v>8.7</v>
      </c>
      <c r="J193" s="5" t="n">
        <v>98.4</v>
      </c>
      <c r="K193" s="5" t="n">
        <v>11</v>
      </c>
    </row>
    <row r="194" customFormat="false" ht="15" hidden="false" customHeight="false" outlineLevel="0" collapsed="false">
      <c r="A194" s="5" t="n">
        <v>185</v>
      </c>
      <c r="B194" s="5" t="n">
        <v>3</v>
      </c>
      <c r="C194" s="5" t="n">
        <v>184.4</v>
      </c>
      <c r="D194" s="5" t="n">
        <v>15.6</v>
      </c>
      <c r="E194" s="5" t="n">
        <v>7.1</v>
      </c>
      <c r="F194" s="5" t="n">
        <v>0</v>
      </c>
      <c r="G194" s="5" t="n">
        <v>54.7</v>
      </c>
      <c r="H194" s="5" t="n">
        <v>65.9</v>
      </c>
      <c r="I194" s="5" t="n">
        <v>9.5</v>
      </c>
      <c r="J194" s="5" t="n">
        <v>212.3</v>
      </c>
      <c r="K194" s="5" t="n">
        <v>11</v>
      </c>
    </row>
    <row r="195" customFormat="false" ht="15" hidden="false" customHeight="false" outlineLevel="0" collapsed="false">
      <c r="A195" s="5" t="n">
        <v>190</v>
      </c>
      <c r="B195" s="5" t="n">
        <v>3</v>
      </c>
      <c r="C195" s="5" t="n">
        <v>210.2</v>
      </c>
      <c r="D195" s="5" t="n">
        <v>15.6</v>
      </c>
      <c r="E195" s="5" t="n">
        <v>6.8</v>
      </c>
      <c r="F195" s="5" t="n">
        <v>0</v>
      </c>
      <c r="G195" s="5" t="n">
        <v>59.8</v>
      </c>
      <c r="H195" s="5" t="n">
        <v>70.5</v>
      </c>
      <c r="I195" s="5" t="n">
        <v>10.2</v>
      </c>
      <c r="J195" s="5" t="n">
        <v>171.5</v>
      </c>
      <c r="K195" s="5" t="n">
        <v>11</v>
      </c>
    </row>
    <row r="196" customFormat="false" ht="15" hidden="false" customHeight="false" outlineLevel="0" collapsed="false">
      <c r="A196" s="5" t="n">
        <v>195</v>
      </c>
      <c r="B196" s="5" t="n">
        <v>3</v>
      </c>
      <c r="C196" s="5" t="n">
        <v>232.4</v>
      </c>
      <c r="D196" s="5" t="n">
        <v>15.6</v>
      </c>
      <c r="E196" s="5" t="n">
        <v>6.9</v>
      </c>
      <c r="F196" s="5" t="n">
        <v>0</v>
      </c>
      <c r="G196" s="5" t="n">
        <v>66.3</v>
      </c>
      <c r="H196" s="5" t="n">
        <v>80.6</v>
      </c>
      <c r="I196" s="5" t="n">
        <v>11.4</v>
      </c>
      <c r="J196" s="5" t="n">
        <v>154.7</v>
      </c>
      <c r="K196" s="5" t="n">
        <v>11</v>
      </c>
    </row>
    <row r="197" customFormat="false" ht="15" hidden="false" customHeight="false" outlineLevel="0" collapsed="false">
      <c r="A197" s="5" t="n">
        <v>200</v>
      </c>
      <c r="B197" s="5" t="n">
        <v>3</v>
      </c>
      <c r="C197" s="5" t="n">
        <v>240.6</v>
      </c>
      <c r="D197" s="5" t="n">
        <v>15.7</v>
      </c>
      <c r="E197" s="5" t="n">
        <v>6.9</v>
      </c>
      <c r="F197" s="5" t="n">
        <v>0</v>
      </c>
      <c r="G197" s="5" t="n">
        <v>68.8</v>
      </c>
      <c r="H197" s="5" t="n">
        <v>83.6</v>
      </c>
      <c r="I197" s="5" t="n">
        <v>11.6</v>
      </c>
      <c r="J197" s="5" t="n">
        <v>137.6</v>
      </c>
      <c r="K197" s="5" t="n">
        <v>11</v>
      </c>
    </row>
    <row r="198" customFormat="false" ht="15" hidden="false" customHeight="false" outlineLevel="0" collapsed="false">
      <c r="A198" s="5" t="n">
        <v>205</v>
      </c>
      <c r="B198" s="5" t="n">
        <v>3</v>
      </c>
      <c r="C198" s="5" t="n">
        <v>305.8</v>
      </c>
      <c r="D198" s="5" t="n">
        <v>15.5</v>
      </c>
      <c r="E198" s="5" t="n">
        <v>6.9</v>
      </c>
      <c r="F198" s="5" t="n">
        <v>0</v>
      </c>
      <c r="G198" s="5" t="n">
        <v>46.2</v>
      </c>
      <c r="H198" s="5" t="n">
        <v>56.6</v>
      </c>
      <c r="I198" s="5" t="n">
        <v>11.8</v>
      </c>
      <c r="J198" s="5" t="n">
        <v>178.4</v>
      </c>
      <c r="K198" s="5" t="n">
        <v>11</v>
      </c>
    </row>
    <row r="199" customFormat="false" ht="15" hidden="false" customHeight="false" outlineLevel="0" collapsed="false">
      <c r="A199" s="5" t="n">
        <v>210</v>
      </c>
      <c r="B199" s="5" t="n">
        <v>3</v>
      </c>
      <c r="C199" s="5" t="n">
        <v>269.6</v>
      </c>
      <c r="D199" s="5" t="n">
        <v>15.7</v>
      </c>
      <c r="E199" s="5" t="n">
        <v>7.1</v>
      </c>
      <c r="F199" s="5" t="n">
        <v>0</v>
      </c>
      <c r="G199" s="5" t="n">
        <v>70.8</v>
      </c>
      <c r="H199" s="5" t="n">
        <v>86.5</v>
      </c>
      <c r="I199" s="5" t="n">
        <v>11.8</v>
      </c>
      <c r="J199" s="5" t="n">
        <v>158.4</v>
      </c>
      <c r="K199" s="5" t="n">
        <v>11</v>
      </c>
    </row>
    <row r="200" customFormat="false" ht="15" hidden="false" customHeight="false" outlineLevel="0" collapsed="false">
      <c r="A200" s="5" t="n">
        <v>215</v>
      </c>
      <c r="B200" s="5" t="n">
        <v>3</v>
      </c>
      <c r="C200" s="5" t="n">
        <v>245.2</v>
      </c>
      <c r="D200" s="5" t="n">
        <v>15.5</v>
      </c>
      <c r="E200" s="5" t="n">
        <v>7</v>
      </c>
      <c r="F200" s="5" t="n">
        <v>0</v>
      </c>
      <c r="G200" s="5" t="n">
        <v>72.7</v>
      </c>
      <c r="H200" s="5" t="n">
        <v>87.9</v>
      </c>
      <c r="I200" s="5" t="n">
        <v>12.3</v>
      </c>
      <c r="J200" s="5" t="n">
        <v>170.3</v>
      </c>
      <c r="K200" s="5" t="n">
        <v>11</v>
      </c>
    </row>
    <row r="201" customFormat="false" ht="15" hidden="false" customHeight="false" outlineLevel="0" collapsed="false">
      <c r="A201" s="5" t="n">
        <v>220</v>
      </c>
      <c r="B201" s="5" t="n">
        <v>3</v>
      </c>
      <c r="C201" s="5" t="n">
        <v>244.8</v>
      </c>
      <c r="D201" s="5" t="n">
        <v>15.1</v>
      </c>
      <c r="E201" s="5" t="n">
        <v>6.5</v>
      </c>
      <c r="F201" s="5" t="n">
        <v>0</v>
      </c>
      <c r="G201" s="5" t="n">
        <v>71.1</v>
      </c>
      <c r="H201" s="5" t="n">
        <v>76.2</v>
      </c>
      <c r="I201" s="5" t="n">
        <v>11.9</v>
      </c>
      <c r="J201" s="5" t="n">
        <v>211.1</v>
      </c>
      <c r="K201" s="5" t="n">
        <v>11</v>
      </c>
    </row>
    <row r="202" customFormat="false" ht="15" hidden="false" customHeight="false" outlineLevel="0" collapsed="false">
      <c r="A202" s="5" t="n">
        <v>225</v>
      </c>
      <c r="B202" s="5" t="n">
        <v>2</v>
      </c>
      <c r="C202" s="5" t="n">
        <v>239.2</v>
      </c>
      <c r="D202" s="5" t="n">
        <v>12.3</v>
      </c>
      <c r="E202" s="5" t="n">
        <v>5.5</v>
      </c>
      <c r="F202" s="5" t="n">
        <v>0</v>
      </c>
      <c r="G202" s="5" t="n">
        <v>59.5</v>
      </c>
      <c r="H202" s="5" t="n">
        <v>63</v>
      </c>
      <c r="I202" s="5" t="n">
        <v>9.4</v>
      </c>
      <c r="J202" s="5" t="n">
        <v>210.9</v>
      </c>
      <c r="K202" s="5" t="n">
        <v>11</v>
      </c>
    </row>
    <row r="203" customFormat="false" ht="15" hidden="false" customHeight="false" outlineLevel="0" collapsed="false">
      <c r="A203" s="5" t="n">
        <v>230</v>
      </c>
      <c r="B203" s="5" t="n">
        <v>3</v>
      </c>
      <c r="C203" s="5" t="n">
        <v>246.4</v>
      </c>
      <c r="D203" s="5" t="n">
        <v>15.2</v>
      </c>
      <c r="E203" s="5" t="n">
        <v>6.5</v>
      </c>
      <c r="F203" s="5" t="n">
        <v>0</v>
      </c>
      <c r="G203" s="5" t="n">
        <v>66.6</v>
      </c>
      <c r="H203" s="5" t="n">
        <v>81.2</v>
      </c>
      <c r="I203" s="5" t="n">
        <v>11.3</v>
      </c>
      <c r="J203" s="5" t="n">
        <v>164.3</v>
      </c>
      <c r="K203" s="5" t="n">
        <v>11</v>
      </c>
    </row>
    <row r="204" customFormat="false" ht="15" hidden="false" customHeight="false" outlineLevel="0" collapsed="false">
      <c r="A204" s="5" t="n">
        <v>235</v>
      </c>
      <c r="B204" s="5" t="n">
        <v>3</v>
      </c>
      <c r="C204" s="5" t="n">
        <v>273.6</v>
      </c>
      <c r="D204" s="5" t="n">
        <v>15.4</v>
      </c>
      <c r="E204" s="5" t="n">
        <v>6.7</v>
      </c>
      <c r="F204" s="5" t="n">
        <v>0</v>
      </c>
      <c r="G204" s="5" t="n">
        <v>42.7</v>
      </c>
      <c r="H204" s="5" t="n">
        <v>50.9</v>
      </c>
      <c r="I204" s="5" t="n">
        <v>11.9</v>
      </c>
      <c r="J204" s="5" t="n">
        <v>206.5</v>
      </c>
      <c r="K204" s="5" t="n">
        <v>11</v>
      </c>
    </row>
    <row r="205" customFormat="false" ht="15" hidden="false" customHeight="false" outlineLevel="0" collapsed="false">
      <c r="A205" s="5" t="n">
        <v>240</v>
      </c>
      <c r="B205" s="5" t="n">
        <v>5</v>
      </c>
      <c r="C205" s="5" t="n">
        <v>301.6</v>
      </c>
      <c r="D205" s="5" t="n">
        <v>15.6</v>
      </c>
      <c r="E205" s="5" t="n">
        <v>6.9</v>
      </c>
      <c r="F205" s="5" t="n">
        <v>0</v>
      </c>
      <c r="G205" s="5" t="n">
        <v>71</v>
      </c>
      <c r="H205" s="5" t="n">
        <v>87.1</v>
      </c>
      <c r="I205" s="5" t="n">
        <v>12.5</v>
      </c>
      <c r="J205" s="5" t="n">
        <v>165.9</v>
      </c>
      <c r="K205" s="5" t="n">
        <v>11</v>
      </c>
    </row>
    <row r="206" customFormat="false" ht="15" hidden="false" customHeight="false" outlineLevel="0" collapsed="false">
      <c r="A206" s="5" t="n">
        <v>245</v>
      </c>
      <c r="B206" s="5" t="n">
        <v>3</v>
      </c>
      <c r="C206" s="5" t="n">
        <v>245.6</v>
      </c>
      <c r="D206" s="5" t="n">
        <v>15.4</v>
      </c>
      <c r="E206" s="5" t="n">
        <v>6.9</v>
      </c>
      <c r="F206" s="5" t="n">
        <v>0</v>
      </c>
      <c r="G206" s="5" t="n">
        <v>71.2</v>
      </c>
      <c r="H206" s="5" t="n">
        <v>86.3</v>
      </c>
      <c r="I206" s="5" t="n">
        <v>11.8</v>
      </c>
      <c r="J206" s="5" t="n">
        <v>182.2</v>
      </c>
      <c r="K206" s="5" t="n">
        <v>11</v>
      </c>
    </row>
    <row r="207" customFormat="false" ht="15" hidden="false" customHeight="false" outlineLevel="0" collapsed="false">
      <c r="A207" s="5" t="n">
        <v>250</v>
      </c>
      <c r="B207" s="5" t="n">
        <v>2</v>
      </c>
      <c r="C207" s="5" t="n">
        <v>241</v>
      </c>
      <c r="D207" s="5" t="n">
        <v>15.5</v>
      </c>
      <c r="E207" s="5" t="n">
        <v>6.9</v>
      </c>
      <c r="F207" s="5" t="n">
        <v>0</v>
      </c>
      <c r="G207" s="5" t="n">
        <v>68.3</v>
      </c>
      <c r="H207" s="5" t="n">
        <v>83</v>
      </c>
      <c r="I207" s="5" t="n">
        <v>12.1</v>
      </c>
      <c r="J207" s="5" t="n">
        <v>192.1</v>
      </c>
      <c r="K207" s="5" t="n">
        <v>11</v>
      </c>
    </row>
    <row r="208" customFormat="false" ht="15" hidden="false" customHeight="false" outlineLevel="0" collapsed="false">
      <c r="A208" s="5" t="n">
        <v>255</v>
      </c>
      <c r="B208" s="5" t="n">
        <v>3</v>
      </c>
      <c r="C208" s="5" t="n">
        <v>243.8</v>
      </c>
      <c r="D208" s="5" t="n">
        <v>15.5</v>
      </c>
      <c r="E208" s="5" t="n">
        <v>6.9</v>
      </c>
      <c r="F208" s="5" t="n">
        <v>0</v>
      </c>
      <c r="G208" s="5" t="n">
        <v>69.2</v>
      </c>
      <c r="H208" s="5" t="n">
        <v>84</v>
      </c>
      <c r="I208" s="5" t="n">
        <v>11.8</v>
      </c>
      <c r="J208" s="5" t="n">
        <v>222.7</v>
      </c>
      <c r="K208" s="5" t="n">
        <v>11</v>
      </c>
    </row>
    <row r="209" customFormat="false" ht="15" hidden="false" customHeight="false" outlineLevel="0" collapsed="false">
      <c r="A209" s="5" t="n">
        <v>260</v>
      </c>
      <c r="B209" s="5" t="n">
        <v>2</v>
      </c>
      <c r="C209" s="5" t="n">
        <v>261.8</v>
      </c>
      <c r="D209" s="5" t="n">
        <v>15.6</v>
      </c>
      <c r="E209" s="5" t="n">
        <v>6.9</v>
      </c>
      <c r="F209" s="5" t="n">
        <v>0</v>
      </c>
      <c r="G209" s="5" t="n">
        <v>74.6</v>
      </c>
      <c r="H209" s="5" t="n">
        <v>90.9</v>
      </c>
      <c r="I209" s="5" t="n">
        <v>13.1</v>
      </c>
      <c r="J209" s="5" t="n">
        <v>149.8</v>
      </c>
      <c r="K209" s="5" t="n">
        <v>11</v>
      </c>
    </row>
    <row r="210" customFormat="false" ht="15" hidden="false" customHeight="false" outlineLevel="0" collapsed="false">
      <c r="A210" s="5" t="n">
        <v>265</v>
      </c>
      <c r="B210" s="5" t="n">
        <v>3</v>
      </c>
      <c r="C210" s="5" t="n">
        <v>283.4</v>
      </c>
      <c r="D210" s="5" t="n">
        <v>15.7</v>
      </c>
      <c r="E210" s="5" t="n">
        <v>6.9</v>
      </c>
      <c r="F210" s="5" t="n">
        <v>0</v>
      </c>
      <c r="G210" s="5" t="n">
        <v>46.9</v>
      </c>
      <c r="H210" s="5" t="n">
        <v>58.1</v>
      </c>
      <c r="I210" s="5" t="n">
        <v>14</v>
      </c>
      <c r="J210" s="5" t="n">
        <v>208.2</v>
      </c>
      <c r="K210" s="5" t="n">
        <v>11</v>
      </c>
    </row>
    <row r="211" customFormat="false" ht="15" hidden="false" customHeight="false" outlineLevel="0" collapsed="false">
      <c r="A211" s="5" t="n">
        <v>270</v>
      </c>
      <c r="B211" s="5" t="n">
        <v>3</v>
      </c>
      <c r="C211" s="5" t="n">
        <v>416</v>
      </c>
      <c r="D211" s="5" t="n">
        <v>15.4</v>
      </c>
      <c r="E211" s="5" t="n">
        <v>6.7</v>
      </c>
      <c r="F211" s="5" t="n">
        <v>0</v>
      </c>
      <c r="G211" s="5" t="n">
        <v>88.5</v>
      </c>
      <c r="H211" s="5" t="n">
        <v>106.7</v>
      </c>
      <c r="I211" s="5" t="n">
        <v>15.5</v>
      </c>
      <c r="J211" s="5" t="n">
        <v>203.9</v>
      </c>
      <c r="K211" s="5" t="n">
        <v>11</v>
      </c>
    </row>
    <row r="212" customFormat="false" ht="15" hidden="false" customHeight="false" outlineLevel="0" collapsed="false">
      <c r="A212" s="5" t="n">
        <v>275</v>
      </c>
      <c r="B212" s="5" t="n">
        <v>5</v>
      </c>
      <c r="C212" s="5" t="n">
        <v>332.2</v>
      </c>
      <c r="D212" s="5" t="n">
        <v>15.5</v>
      </c>
      <c r="E212" s="5" t="n">
        <v>6.9</v>
      </c>
      <c r="F212" s="5" t="n">
        <v>0</v>
      </c>
      <c r="G212" s="5" t="n">
        <v>95.1</v>
      </c>
      <c r="H212" s="5" t="n">
        <v>116.6</v>
      </c>
      <c r="I212" s="5" t="n">
        <v>16.4</v>
      </c>
      <c r="J212" s="5" t="n">
        <v>189.8</v>
      </c>
      <c r="K212" s="5" t="n">
        <v>11</v>
      </c>
    </row>
    <row r="213" customFormat="false" ht="15" hidden="false" customHeight="false" outlineLevel="0" collapsed="false">
      <c r="A213" s="5" t="n">
        <v>280</v>
      </c>
      <c r="B213" s="5" t="n">
        <v>4</v>
      </c>
      <c r="C213" s="5" t="n">
        <v>349.2</v>
      </c>
      <c r="D213" s="5" t="n">
        <v>15.4</v>
      </c>
      <c r="E213" s="5" t="n">
        <v>6.7</v>
      </c>
      <c r="F213" s="5" t="n">
        <v>0</v>
      </c>
      <c r="G213" s="5" t="n">
        <v>97.5</v>
      </c>
      <c r="H213" s="5" t="n">
        <v>118.4</v>
      </c>
      <c r="I213" s="5" t="n">
        <v>16.7</v>
      </c>
      <c r="J213" s="5" t="n">
        <v>179.7</v>
      </c>
      <c r="K213" s="5" t="n">
        <v>11</v>
      </c>
    </row>
    <row r="214" customFormat="false" ht="15" hidden="false" customHeight="false" outlineLevel="0" collapsed="false">
      <c r="A214" s="5" t="n">
        <v>285</v>
      </c>
      <c r="B214" s="5" t="n">
        <v>4</v>
      </c>
      <c r="C214" s="5" t="n">
        <v>371.2</v>
      </c>
      <c r="D214" s="5" t="n">
        <v>15.3</v>
      </c>
      <c r="E214" s="5" t="n">
        <v>6.6</v>
      </c>
      <c r="F214" s="5" t="n">
        <v>0</v>
      </c>
      <c r="G214" s="5" t="n">
        <v>104.7</v>
      </c>
      <c r="H214" s="5" t="n">
        <v>127.5</v>
      </c>
      <c r="I214" s="5" t="n">
        <v>18.2</v>
      </c>
      <c r="J214" s="5" t="n">
        <v>182.9</v>
      </c>
      <c r="K214" s="5" t="n">
        <v>11</v>
      </c>
    </row>
    <row r="215" customFormat="false" ht="15" hidden="false" customHeight="false" outlineLevel="0" collapsed="false">
      <c r="A215" s="5" t="n">
        <v>290</v>
      </c>
      <c r="B215" s="5" t="n">
        <v>3</v>
      </c>
      <c r="C215" s="5" t="n">
        <v>369.4</v>
      </c>
      <c r="D215" s="5" t="n">
        <v>15.6</v>
      </c>
      <c r="E215" s="5" t="n">
        <v>6.9</v>
      </c>
      <c r="F215" s="5" t="n">
        <v>0</v>
      </c>
      <c r="G215" s="5" t="n">
        <v>104.9</v>
      </c>
      <c r="H215" s="5" t="n">
        <v>127.7</v>
      </c>
      <c r="I215" s="5" t="n">
        <v>18.2</v>
      </c>
      <c r="J215" s="5" t="n">
        <v>204.6</v>
      </c>
      <c r="K215" s="5" t="n">
        <v>11</v>
      </c>
    </row>
    <row r="216" customFormat="false" ht="15" hidden="false" customHeight="false" outlineLevel="0" collapsed="false">
      <c r="A216" s="5" t="n">
        <v>295</v>
      </c>
      <c r="B216" s="5" t="n">
        <v>4</v>
      </c>
      <c r="C216" s="5" t="n">
        <v>364</v>
      </c>
      <c r="D216" s="5" t="n">
        <v>15.6</v>
      </c>
      <c r="E216" s="5" t="n">
        <v>6.9</v>
      </c>
      <c r="F216" s="5" t="n">
        <v>0</v>
      </c>
      <c r="G216" s="5" t="n">
        <v>105.7</v>
      </c>
      <c r="H216" s="5" t="n">
        <v>130.2</v>
      </c>
      <c r="I216" s="5" t="n">
        <v>18.1</v>
      </c>
      <c r="J216" s="5" t="n">
        <v>220.4</v>
      </c>
      <c r="K216" s="5" t="n">
        <v>11</v>
      </c>
    </row>
    <row r="217" customFormat="false" ht="15" hidden="false" customHeight="false" outlineLevel="0" collapsed="false">
      <c r="A217" s="5" t="n">
        <v>300</v>
      </c>
      <c r="B217" s="5" t="n">
        <v>5</v>
      </c>
      <c r="C217" s="5" t="n">
        <v>485.6</v>
      </c>
      <c r="D217" s="5" t="n">
        <v>15.4</v>
      </c>
      <c r="E217" s="5" t="n">
        <v>6.8</v>
      </c>
      <c r="F217" s="5" t="n">
        <v>0</v>
      </c>
      <c r="G217" s="5" t="n">
        <v>67.5</v>
      </c>
      <c r="H217" s="5" t="n">
        <v>82.7</v>
      </c>
      <c r="I217" s="5" t="n">
        <v>17.8</v>
      </c>
      <c r="J217" s="5" t="n">
        <v>184.2</v>
      </c>
      <c r="K217" s="5" t="n">
        <v>11</v>
      </c>
    </row>
    <row r="218" customFormat="false" ht="15" hidden="false" customHeight="false" outlineLevel="0" collapsed="false">
      <c r="A218" s="5" t="n">
        <v>305</v>
      </c>
      <c r="B218" s="5" t="n">
        <v>3</v>
      </c>
      <c r="C218" s="5" t="n">
        <v>367.2</v>
      </c>
      <c r="D218" s="5" t="n">
        <v>15.5</v>
      </c>
      <c r="E218" s="5" t="n">
        <v>6.9</v>
      </c>
      <c r="F218" s="5" t="n">
        <v>0</v>
      </c>
      <c r="G218" s="5" t="n">
        <v>105.2</v>
      </c>
      <c r="H218" s="5" t="n">
        <v>128.6</v>
      </c>
      <c r="I218" s="5" t="n">
        <v>18</v>
      </c>
      <c r="J218" s="5" t="n">
        <v>211.9</v>
      </c>
      <c r="K218" s="5" t="n">
        <v>11</v>
      </c>
    </row>
    <row r="219" customFormat="false" ht="15" hidden="false" customHeight="false" outlineLevel="0" collapsed="false">
      <c r="A219" s="5" t="n">
        <v>310</v>
      </c>
      <c r="B219" s="5" t="n">
        <v>4</v>
      </c>
      <c r="C219" s="5" t="n">
        <v>367.2</v>
      </c>
      <c r="D219" s="5" t="n">
        <v>15.6</v>
      </c>
      <c r="E219" s="5" t="n">
        <v>7</v>
      </c>
      <c r="F219" s="5" t="n">
        <v>0</v>
      </c>
      <c r="G219" s="5" t="n">
        <v>106.1</v>
      </c>
      <c r="H219" s="5" t="n">
        <v>130.7</v>
      </c>
      <c r="I219" s="5" t="n">
        <v>18.4</v>
      </c>
      <c r="J219" s="5" t="n">
        <v>230.1</v>
      </c>
      <c r="K219" s="5" t="n">
        <v>11</v>
      </c>
    </row>
    <row r="220" customFormat="false" ht="15" hidden="false" customHeight="false" outlineLevel="0" collapsed="false">
      <c r="A220" s="5" t="n">
        <v>315</v>
      </c>
      <c r="B220" s="5" t="n">
        <v>3</v>
      </c>
      <c r="C220" s="5" t="n">
        <v>365.4</v>
      </c>
      <c r="D220" s="5" t="n">
        <v>15.6</v>
      </c>
      <c r="E220" s="5" t="n">
        <v>6.8</v>
      </c>
      <c r="F220" s="5" t="n">
        <v>0</v>
      </c>
      <c r="G220" s="5" t="n">
        <v>103.6</v>
      </c>
      <c r="H220" s="5" t="n">
        <v>126.4</v>
      </c>
      <c r="I220" s="5" t="n">
        <v>18.2</v>
      </c>
      <c r="J220" s="5" t="n">
        <v>96.5</v>
      </c>
      <c r="K220" s="5" t="n">
        <v>11</v>
      </c>
    </row>
    <row r="221" customFormat="false" ht="15" hidden="false" customHeight="false" outlineLevel="0" collapsed="false">
      <c r="A221" s="5" t="n">
        <v>320</v>
      </c>
      <c r="B221" s="5" t="n">
        <v>4</v>
      </c>
      <c r="C221" s="5" t="n">
        <v>370.6</v>
      </c>
      <c r="D221" s="5" t="n">
        <v>15.6</v>
      </c>
      <c r="E221" s="5" t="n">
        <v>6.7</v>
      </c>
      <c r="F221" s="5" t="n">
        <v>0</v>
      </c>
      <c r="G221" s="5" t="n">
        <v>102.9</v>
      </c>
      <c r="H221" s="5" t="n">
        <v>124.6</v>
      </c>
      <c r="I221" s="5" t="n">
        <v>17.4</v>
      </c>
      <c r="J221" s="5" t="n">
        <v>216.5</v>
      </c>
      <c r="K221" s="5" t="n">
        <v>11</v>
      </c>
    </row>
    <row r="222" customFormat="false" ht="15" hidden="false" customHeight="false" outlineLevel="0" collapsed="false">
      <c r="A222" s="5" t="n">
        <v>325</v>
      </c>
      <c r="B222" s="5" t="n">
        <v>4</v>
      </c>
      <c r="C222" s="5" t="n">
        <v>366.4</v>
      </c>
      <c r="D222" s="5" t="n">
        <v>15.5</v>
      </c>
      <c r="E222" s="5" t="n">
        <v>6.7</v>
      </c>
      <c r="F222" s="5" t="n">
        <v>0</v>
      </c>
      <c r="G222" s="5" t="n">
        <v>103.5</v>
      </c>
      <c r="H222" s="5" t="n">
        <v>125.9</v>
      </c>
      <c r="I222" s="5" t="n">
        <v>18</v>
      </c>
      <c r="J222" s="5" t="n">
        <v>227.8</v>
      </c>
      <c r="K222" s="5" t="n">
        <v>11</v>
      </c>
    </row>
    <row r="223" customFormat="false" ht="15" hidden="false" customHeight="false" outlineLevel="0" collapsed="false">
      <c r="A223" s="5" t="n">
        <v>330</v>
      </c>
      <c r="B223" s="5" t="n">
        <v>5</v>
      </c>
      <c r="C223" s="5" t="n">
        <v>497.2</v>
      </c>
      <c r="D223" s="5" t="n">
        <v>15.4</v>
      </c>
      <c r="E223" s="5" t="n">
        <v>6.9</v>
      </c>
      <c r="F223" s="5" t="n">
        <v>0</v>
      </c>
      <c r="G223" s="5" t="n">
        <v>60.7</v>
      </c>
      <c r="H223" s="5" t="n">
        <v>75.2</v>
      </c>
      <c r="I223" s="5" t="n">
        <v>18.3</v>
      </c>
      <c r="J223" s="5" t="n">
        <v>222</v>
      </c>
      <c r="K223" s="5" t="n">
        <v>11</v>
      </c>
    </row>
    <row r="224" customFormat="false" ht="15" hidden="false" customHeight="false" outlineLevel="0" collapsed="false">
      <c r="A224" s="5" t="n">
        <v>335</v>
      </c>
      <c r="B224" s="5" t="n">
        <v>3</v>
      </c>
      <c r="C224" s="5" t="n">
        <v>367.4</v>
      </c>
      <c r="D224" s="5" t="n">
        <v>15.3</v>
      </c>
      <c r="E224" s="5" t="n">
        <v>6.8</v>
      </c>
      <c r="F224" s="5" t="n">
        <v>0</v>
      </c>
      <c r="G224" s="5" t="n">
        <v>104.1</v>
      </c>
      <c r="H224" s="5" t="n">
        <v>127.7</v>
      </c>
      <c r="I224" s="5" t="n">
        <v>18.2</v>
      </c>
      <c r="J224" s="5" t="n">
        <v>162.9</v>
      </c>
      <c r="K224" s="5" t="n">
        <v>11</v>
      </c>
    </row>
    <row r="225" customFormat="false" ht="15" hidden="false" customHeight="false" outlineLevel="0" collapsed="false">
      <c r="A225" s="5" t="n">
        <v>340</v>
      </c>
      <c r="B225" s="5" t="n">
        <v>5</v>
      </c>
      <c r="C225" s="5" t="n">
        <v>366.8</v>
      </c>
      <c r="D225" s="5" t="n">
        <v>15.4</v>
      </c>
      <c r="E225" s="5" t="n">
        <v>6.8</v>
      </c>
      <c r="F225" s="5" t="n">
        <v>0</v>
      </c>
      <c r="G225" s="5" t="n">
        <v>102.6</v>
      </c>
      <c r="H225" s="5" t="n">
        <v>127.3</v>
      </c>
      <c r="I225" s="5" t="n">
        <v>18.4</v>
      </c>
      <c r="J225" s="5" t="n">
        <v>175.7</v>
      </c>
      <c r="K225" s="5" t="n">
        <v>11</v>
      </c>
    </row>
    <row r="226" customFormat="false" ht="15" hidden="false" customHeight="false" outlineLevel="0" collapsed="false">
      <c r="A226" s="5" t="n">
        <v>345</v>
      </c>
      <c r="B226" s="5" t="n">
        <v>4</v>
      </c>
      <c r="C226" s="5" t="n">
        <v>397.2</v>
      </c>
      <c r="D226" s="5" t="n">
        <v>15.4</v>
      </c>
      <c r="E226" s="5" t="n">
        <v>6.8</v>
      </c>
      <c r="F226" s="5" t="n">
        <v>0</v>
      </c>
      <c r="G226" s="5" t="n">
        <v>112.6</v>
      </c>
      <c r="H226" s="5" t="n">
        <v>138.1</v>
      </c>
      <c r="I226" s="5" t="n">
        <v>19.5</v>
      </c>
      <c r="J226" s="5" t="n">
        <v>150.9</v>
      </c>
      <c r="K226" s="5" t="n">
        <v>11</v>
      </c>
    </row>
    <row r="227" customFormat="false" ht="15" hidden="false" customHeight="false" outlineLevel="0" collapsed="false">
      <c r="A227" s="5" t="n">
        <v>350</v>
      </c>
      <c r="B227" s="5" t="n">
        <v>3</v>
      </c>
      <c r="C227" s="5" t="n">
        <v>424.4</v>
      </c>
      <c r="D227" s="5" t="n">
        <v>15.4</v>
      </c>
      <c r="E227" s="5" t="n">
        <v>6.8</v>
      </c>
      <c r="F227" s="5" t="n">
        <v>0</v>
      </c>
      <c r="G227" s="5" t="n">
        <v>121.9</v>
      </c>
      <c r="H227" s="5" t="n">
        <v>151.7</v>
      </c>
      <c r="I227" s="5" t="n">
        <v>21.4</v>
      </c>
      <c r="J227" s="5" t="n">
        <v>162.4</v>
      </c>
      <c r="K227" s="5" t="n">
        <v>11</v>
      </c>
    </row>
    <row r="228" customFormat="false" ht="15" hidden="false" customHeight="false" outlineLevel="0" collapsed="false">
      <c r="A228" s="5" t="n">
        <v>355</v>
      </c>
      <c r="B228" s="5" t="n">
        <v>5</v>
      </c>
      <c r="C228" s="5" t="n">
        <v>458.8</v>
      </c>
      <c r="D228" s="5" t="n">
        <v>15.6</v>
      </c>
      <c r="E228" s="5" t="n">
        <v>7</v>
      </c>
      <c r="F228" s="5" t="n">
        <v>0</v>
      </c>
      <c r="G228" s="5" t="n">
        <v>131.4</v>
      </c>
      <c r="H228" s="5" t="n">
        <v>162.3</v>
      </c>
      <c r="I228" s="5" t="n">
        <v>22.8</v>
      </c>
      <c r="J228" s="5" t="n">
        <v>208.1</v>
      </c>
      <c r="K228" s="5" t="n">
        <v>11</v>
      </c>
    </row>
    <row r="229" customFormat="false" ht="15" hidden="false" customHeight="false" outlineLevel="0" collapsed="false">
      <c r="A229" s="5" t="n">
        <v>360</v>
      </c>
      <c r="B229" s="5" t="n">
        <v>5</v>
      </c>
      <c r="C229" s="5" t="n">
        <v>666.8</v>
      </c>
      <c r="D229" s="5" t="n">
        <v>15.3</v>
      </c>
      <c r="E229" s="5" t="n">
        <v>6.9</v>
      </c>
      <c r="F229" s="5" t="n">
        <v>0</v>
      </c>
      <c r="G229" s="5" t="n">
        <v>84</v>
      </c>
      <c r="H229" s="5" t="n">
        <v>103.7</v>
      </c>
      <c r="I229" s="5" t="n">
        <v>24.6</v>
      </c>
      <c r="J229" s="5" t="n">
        <v>211</v>
      </c>
      <c r="K229" s="5" t="n">
        <v>11</v>
      </c>
    </row>
    <row r="230" customFormat="false" ht="15" hidden="false" customHeight="false" outlineLevel="0" collapsed="false">
      <c r="A230" s="5" t="n">
        <v>365</v>
      </c>
      <c r="B230" s="5" t="n">
        <v>6</v>
      </c>
      <c r="C230" s="5" t="n">
        <v>527.8</v>
      </c>
      <c r="D230" s="5" t="n">
        <v>15.1</v>
      </c>
      <c r="E230" s="5" t="n">
        <v>6.5</v>
      </c>
      <c r="F230" s="5" t="n">
        <v>0</v>
      </c>
      <c r="G230" s="5" t="n">
        <v>145.9</v>
      </c>
      <c r="H230" s="5" t="n">
        <v>178.7</v>
      </c>
      <c r="I230" s="5" t="n">
        <v>25.2</v>
      </c>
      <c r="J230" s="5" t="n">
        <v>146.2</v>
      </c>
      <c r="K230" s="5" t="n">
        <v>11</v>
      </c>
    </row>
    <row r="231" customFormat="false" ht="15" hidden="false" customHeight="false" outlineLevel="0" collapsed="false">
      <c r="A231" s="5" t="n">
        <v>370</v>
      </c>
      <c r="B231" s="5" t="n">
        <v>6</v>
      </c>
      <c r="C231" s="5" t="n">
        <v>553</v>
      </c>
      <c r="D231" s="5" t="n">
        <v>15.3</v>
      </c>
      <c r="E231" s="5" t="n">
        <v>6.6</v>
      </c>
      <c r="F231" s="5" t="n">
        <v>0</v>
      </c>
      <c r="G231" s="5" t="n">
        <v>167</v>
      </c>
      <c r="H231" s="5" t="n">
        <v>185.5</v>
      </c>
      <c r="I231" s="5" t="n">
        <v>27.5</v>
      </c>
      <c r="J231" s="5" t="n">
        <v>178.7</v>
      </c>
      <c r="K231" s="5" t="n">
        <v>11</v>
      </c>
    </row>
    <row r="232" customFormat="false" ht="15" hidden="false" customHeight="false" outlineLevel="0" collapsed="false">
      <c r="A232" s="5" t="n">
        <v>375</v>
      </c>
      <c r="B232" s="5" t="n">
        <v>4</v>
      </c>
      <c r="C232" s="5" t="n">
        <v>548.8</v>
      </c>
      <c r="D232" s="5" t="n">
        <v>15</v>
      </c>
      <c r="E232" s="5" t="n">
        <v>6.3</v>
      </c>
      <c r="F232" s="5" t="n">
        <v>0</v>
      </c>
      <c r="G232" s="5" t="n">
        <v>144.7</v>
      </c>
      <c r="H232" s="5" t="n">
        <v>176.9</v>
      </c>
      <c r="I232" s="5" t="n">
        <v>25.1</v>
      </c>
      <c r="J232" s="5" t="n">
        <v>171.9</v>
      </c>
      <c r="K232" s="5" t="n">
        <v>11</v>
      </c>
    </row>
    <row r="233" customFormat="false" ht="15" hidden="false" customHeight="false" outlineLevel="0" collapsed="false">
      <c r="A233" s="5" t="n">
        <v>380</v>
      </c>
      <c r="B233" s="5" t="n">
        <v>5</v>
      </c>
      <c r="C233" s="5" t="n">
        <v>547.2</v>
      </c>
      <c r="D233" s="5" t="n">
        <v>15.1</v>
      </c>
      <c r="E233" s="5" t="n">
        <v>6.6</v>
      </c>
      <c r="F233" s="5" t="n">
        <v>0</v>
      </c>
      <c r="G233" s="5" t="n">
        <v>153.5</v>
      </c>
      <c r="H233" s="5" t="n">
        <v>185</v>
      </c>
      <c r="I233" s="5" t="n">
        <v>25.9</v>
      </c>
      <c r="J233" s="5" t="n">
        <v>192.7</v>
      </c>
      <c r="K233" s="5" t="n">
        <v>11</v>
      </c>
    </row>
    <row r="234" customFormat="false" ht="15" hidden="false" customHeight="false" outlineLevel="0" collapsed="false">
      <c r="A234" s="5" t="n">
        <v>385</v>
      </c>
      <c r="B234" s="5" t="n">
        <v>5</v>
      </c>
      <c r="C234" s="5" t="n">
        <v>541.8</v>
      </c>
      <c r="D234" s="5" t="n">
        <v>14.8</v>
      </c>
      <c r="E234" s="5" t="n">
        <v>6.4</v>
      </c>
      <c r="F234" s="5" t="n">
        <v>0</v>
      </c>
      <c r="G234" s="5" t="n">
        <v>144.9</v>
      </c>
      <c r="H234" s="5" t="n">
        <v>180.5</v>
      </c>
      <c r="I234" s="5" t="n">
        <v>24.9</v>
      </c>
      <c r="J234" s="5" t="n">
        <v>209.7</v>
      </c>
      <c r="K234" s="5" t="n">
        <v>11</v>
      </c>
    </row>
    <row r="235" customFormat="false" ht="15" hidden="false" customHeight="false" outlineLevel="0" collapsed="false">
      <c r="A235" s="5" t="n">
        <v>390</v>
      </c>
      <c r="B235" s="5" t="n">
        <v>5</v>
      </c>
      <c r="C235" s="5" t="n">
        <v>734.6</v>
      </c>
      <c r="D235" s="5" t="n">
        <v>15</v>
      </c>
      <c r="E235" s="5" t="n">
        <v>6.6</v>
      </c>
      <c r="F235" s="5" t="n">
        <v>0</v>
      </c>
      <c r="G235" s="5" t="n">
        <v>86.6</v>
      </c>
      <c r="H235" s="5" t="n">
        <v>106.6</v>
      </c>
      <c r="I235" s="5" t="n">
        <v>26.1</v>
      </c>
      <c r="J235" s="5" t="n">
        <v>160.2</v>
      </c>
      <c r="K235" s="5" t="n">
        <v>11</v>
      </c>
    </row>
    <row r="236" customFormat="false" ht="15" hidden="false" customHeight="false" outlineLevel="0" collapsed="false">
      <c r="A236" s="5" t="n">
        <v>395</v>
      </c>
      <c r="B236" s="5" t="n">
        <v>4</v>
      </c>
      <c r="C236" s="5" t="n">
        <v>550.8</v>
      </c>
      <c r="D236" s="5" t="n">
        <v>14.6</v>
      </c>
      <c r="E236" s="5" t="n">
        <v>6.2</v>
      </c>
      <c r="F236" s="5" t="n">
        <v>0</v>
      </c>
      <c r="G236" s="5" t="n">
        <v>144.9</v>
      </c>
      <c r="H236" s="5" t="n">
        <v>176.9</v>
      </c>
      <c r="I236" s="5" t="n">
        <v>24.9</v>
      </c>
      <c r="J236" s="5" t="n">
        <v>184.6</v>
      </c>
      <c r="K236" s="5" t="n">
        <v>11</v>
      </c>
    </row>
    <row r="237" customFormat="false" ht="15" hidden="false" customHeight="false" outlineLevel="0" collapsed="false">
      <c r="A237" s="5" t="n">
        <v>400</v>
      </c>
      <c r="B237" s="5" t="n">
        <v>5</v>
      </c>
      <c r="C237" s="5" t="n">
        <v>552</v>
      </c>
      <c r="D237" s="5" t="n">
        <v>15.3</v>
      </c>
      <c r="E237" s="5" t="n">
        <v>6.7</v>
      </c>
      <c r="F237" s="5" t="n">
        <v>0</v>
      </c>
      <c r="G237" s="5" t="n">
        <v>153</v>
      </c>
      <c r="H237" s="5" t="n">
        <v>189.7</v>
      </c>
      <c r="I237" s="5" t="n">
        <v>26.5</v>
      </c>
      <c r="J237" s="5" t="n">
        <v>192.9</v>
      </c>
      <c r="K237" s="5" t="n">
        <v>11</v>
      </c>
    </row>
    <row r="238" customFormat="false" ht="15" hidden="false" customHeight="false" outlineLevel="0" collapsed="false">
      <c r="A238" s="5" t="n">
        <v>405</v>
      </c>
      <c r="B238" s="5" t="n">
        <v>4</v>
      </c>
      <c r="C238" s="5" t="n">
        <v>548</v>
      </c>
      <c r="D238" s="5" t="n">
        <v>15.4</v>
      </c>
      <c r="E238" s="5" t="n">
        <v>6.9</v>
      </c>
      <c r="F238" s="5" t="n">
        <v>0</v>
      </c>
      <c r="G238" s="5" t="n">
        <v>155.3</v>
      </c>
      <c r="H238" s="5" t="n">
        <v>194.6</v>
      </c>
      <c r="I238" s="5" t="n">
        <v>26.8</v>
      </c>
      <c r="J238" s="5" t="n">
        <v>163.4</v>
      </c>
      <c r="K238" s="5" t="n">
        <v>11</v>
      </c>
    </row>
    <row r="239" customFormat="false" ht="15" hidden="false" customHeight="false" outlineLevel="0" collapsed="false">
      <c r="A239" s="5" t="n">
        <v>410</v>
      </c>
      <c r="B239" s="5" t="n">
        <v>5</v>
      </c>
      <c r="C239" s="5" t="n">
        <v>552.6</v>
      </c>
      <c r="D239" s="5" t="n">
        <v>15.3</v>
      </c>
      <c r="E239" s="5" t="n">
        <v>6.8</v>
      </c>
      <c r="F239" s="5" t="n">
        <v>0</v>
      </c>
      <c r="G239" s="5" t="n">
        <v>155.2</v>
      </c>
      <c r="H239" s="5" t="n">
        <v>192.3</v>
      </c>
      <c r="I239" s="5" t="n">
        <v>27.1</v>
      </c>
      <c r="J239" s="5" t="n">
        <v>198.1</v>
      </c>
      <c r="K239" s="5" t="n">
        <v>11</v>
      </c>
    </row>
    <row r="240" customFormat="false" ht="15" hidden="false" customHeight="false" outlineLevel="0" collapsed="false">
      <c r="A240" s="5" t="n">
        <v>415</v>
      </c>
      <c r="B240" s="5" t="n">
        <v>6</v>
      </c>
      <c r="C240" s="5" t="n">
        <v>545.2</v>
      </c>
      <c r="D240" s="5" t="n">
        <v>15.2</v>
      </c>
      <c r="E240" s="5" t="n">
        <v>6.6</v>
      </c>
      <c r="F240" s="5" t="n">
        <v>0</v>
      </c>
      <c r="G240" s="5" t="n">
        <v>149.5</v>
      </c>
      <c r="H240" s="5" t="n">
        <v>184.5</v>
      </c>
      <c r="I240" s="5" t="n">
        <v>25.8</v>
      </c>
      <c r="J240" s="5" t="n">
        <v>160.2</v>
      </c>
      <c r="K240" s="5" t="n">
        <v>11</v>
      </c>
    </row>
    <row r="241" customFormat="false" ht="15" hidden="false" customHeight="false" outlineLevel="0" collapsed="false">
      <c r="A241" s="5" t="n">
        <v>420</v>
      </c>
      <c r="B241" s="5" t="n">
        <v>6</v>
      </c>
      <c r="C241" s="5" t="n">
        <v>728.6</v>
      </c>
      <c r="D241" s="5" t="n">
        <v>14.8</v>
      </c>
      <c r="E241" s="5" t="n">
        <v>6.3</v>
      </c>
      <c r="F241" s="5" t="n">
        <v>0</v>
      </c>
      <c r="G241" s="5" t="n">
        <v>92.2</v>
      </c>
      <c r="H241" s="5" t="n">
        <v>112.5</v>
      </c>
      <c r="I241" s="5" t="n">
        <v>25.4</v>
      </c>
      <c r="J241" s="5" t="n">
        <v>177.1</v>
      </c>
      <c r="K241" s="5" t="n">
        <v>11</v>
      </c>
    </row>
    <row r="242" customFormat="false" ht="15" hidden="false" customHeight="false" outlineLevel="0" collapsed="false">
      <c r="A242" s="5" t="n">
        <v>425</v>
      </c>
      <c r="B242" s="5" t="n">
        <v>6</v>
      </c>
      <c r="C242" s="5" t="n">
        <v>555.6</v>
      </c>
      <c r="D242" s="5" t="n">
        <v>15.4</v>
      </c>
      <c r="E242" s="5" t="n">
        <v>6.8</v>
      </c>
      <c r="F242" s="5" t="n">
        <v>0</v>
      </c>
      <c r="G242" s="5" t="n">
        <v>157.1</v>
      </c>
      <c r="H242" s="5" t="n">
        <v>195.2</v>
      </c>
      <c r="I242" s="5" t="n">
        <v>27.1</v>
      </c>
      <c r="J242" s="5" t="n">
        <v>228.9</v>
      </c>
      <c r="K242" s="5" t="n">
        <v>11</v>
      </c>
    </row>
    <row r="243" customFormat="false" ht="15" hidden="false" customHeight="false" outlineLevel="0" collapsed="false">
      <c r="A243" s="5" t="n">
        <v>430</v>
      </c>
      <c r="B243" s="5" t="n">
        <v>4</v>
      </c>
      <c r="C243" s="5" t="n">
        <v>585.4</v>
      </c>
      <c r="D243" s="5" t="n">
        <v>15.2</v>
      </c>
      <c r="E243" s="5" t="n">
        <v>6.6</v>
      </c>
      <c r="F243" s="5" t="n">
        <v>0</v>
      </c>
      <c r="G243" s="5" t="n">
        <v>161.7</v>
      </c>
      <c r="H243" s="5" t="n">
        <v>200</v>
      </c>
      <c r="I243" s="5" t="n">
        <v>28</v>
      </c>
      <c r="J243" s="5" t="n">
        <v>131.5</v>
      </c>
      <c r="K243" s="5" t="n">
        <v>11</v>
      </c>
    </row>
    <row r="244" customFormat="false" ht="15" hidden="false" customHeight="false" outlineLevel="0" collapsed="false">
      <c r="A244" s="5" t="n">
        <v>435</v>
      </c>
      <c r="B244" s="5" t="n">
        <v>6</v>
      </c>
      <c r="C244" s="5" t="n">
        <v>612</v>
      </c>
      <c r="D244" s="5" t="n">
        <v>14.1</v>
      </c>
      <c r="E244" s="5" t="n">
        <v>6.1</v>
      </c>
      <c r="F244" s="5" t="n">
        <v>0</v>
      </c>
      <c r="G244" s="5" t="n">
        <v>155.5</v>
      </c>
      <c r="H244" s="5" t="n">
        <v>193.5</v>
      </c>
      <c r="I244" s="5" t="n">
        <v>27</v>
      </c>
      <c r="J244" s="5" t="n">
        <v>196</v>
      </c>
      <c r="K244" s="5" t="n">
        <v>11</v>
      </c>
    </row>
    <row r="245" customFormat="false" ht="15" hidden="false" customHeight="false" outlineLevel="0" collapsed="false">
      <c r="A245" s="5" t="n">
        <v>440</v>
      </c>
      <c r="B245" s="5" t="n">
        <v>6</v>
      </c>
      <c r="C245" s="5" t="n">
        <v>637.2</v>
      </c>
      <c r="D245" s="5" t="n">
        <v>13.4</v>
      </c>
      <c r="E245" s="5" t="n">
        <v>5.9</v>
      </c>
      <c r="F245" s="5" t="n">
        <v>0</v>
      </c>
      <c r="G245" s="5" t="n">
        <v>156.7</v>
      </c>
      <c r="H245" s="5" t="n">
        <v>194.5</v>
      </c>
      <c r="I245" s="5" t="n">
        <v>27.2</v>
      </c>
      <c r="J245" s="5" t="n">
        <v>186.9</v>
      </c>
      <c r="K245" s="5" t="n">
        <v>11</v>
      </c>
    </row>
    <row r="246" customFormat="false" ht="15" hidden="false" customHeight="false" outlineLevel="0" collapsed="false">
      <c r="A246" s="5" t="n">
        <v>445</v>
      </c>
      <c r="B246" s="5" t="n">
        <v>6</v>
      </c>
      <c r="C246" s="5" t="n">
        <v>672</v>
      </c>
      <c r="D246" s="5" t="n">
        <v>12.7</v>
      </c>
      <c r="E246" s="5" t="n">
        <v>5.6</v>
      </c>
      <c r="F246" s="5" t="n">
        <v>0</v>
      </c>
      <c r="G246" s="5" t="n">
        <v>158.8</v>
      </c>
      <c r="H246" s="5" t="n">
        <v>195.1</v>
      </c>
      <c r="I246" s="5" t="n">
        <v>27.2</v>
      </c>
      <c r="J246" s="5" t="n">
        <v>207</v>
      </c>
      <c r="K246" s="5" t="n">
        <v>11</v>
      </c>
    </row>
    <row r="247" customFormat="false" ht="15" hidden="false" customHeight="false" outlineLevel="0" collapsed="false">
      <c r="A247" s="5" t="n">
        <v>450</v>
      </c>
      <c r="B247" s="5" t="n">
        <v>6</v>
      </c>
      <c r="C247" s="5" t="n">
        <v>885.2</v>
      </c>
      <c r="D247" s="5" t="n">
        <v>12.4</v>
      </c>
      <c r="E247" s="5" t="n">
        <v>5.4</v>
      </c>
      <c r="F247" s="5" t="n">
        <v>0</v>
      </c>
      <c r="G247" s="5" t="n">
        <v>100.8</v>
      </c>
      <c r="H247" s="5" t="n">
        <v>125.1</v>
      </c>
      <c r="I247" s="5" t="n">
        <v>27.9</v>
      </c>
      <c r="J247" s="5" t="n">
        <v>146.7</v>
      </c>
      <c r="K247" s="5" t="n">
        <v>11</v>
      </c>
    </row>
    <row r="248" customFormat="false" ht="15" hidden="false" customHeight="false" outlineLevel="0" collapsed="false">
      <c r="A248" s="5" t="n">
        <v>455</v>
      </c>
      <c r="B248" s="5" t="n">
        <v>5</v>
      </c>
      <c r="C248" s="5" t="n">
        <v>792.2</v>
      </c>
      <c r="D248" s="5" t="n">
        <v>12.7</v>
      </c>
      <c r="E248" s="5" t="n">
        <v>5.5</v>
      </c>
      <c r="F248" s="5" t="n">
        <v>0</v>
      </c>
      <c r="G248" s="5" t="n">
        <v>168.2</v>
      </c>
      <c r="H248" s="5" t="n">
        <v>207</v>
      </c>
      <c r="I248" s="5" t="n">
        <v>29</v>
      </c>
      <c r="J248" s="5" t="n">
        <v>156.2</v>
      </c>
      <c r="K248" s="5" t="n">
        <v>11</v>
      </c>
    </row>
    <row r="249" customFormat="false" ht="15" hidden="false" customHeight="false" outlineLevel="0" collapsed="false">
      <c r="A249" s="5" t="n">
        <v>460</v>
      </c>
      <c r="B249" s="5" t="n">
        <v>7</v>
      </c>
      <c r="C249" s="5" t="n">
        <v>736.6</v>
      </c>
      <c r="D249" s="5" t="n">
        <v>12.9</v>
      </c>
      <c r="E249" s="5" t="n">
        <v>5.6</v>
      </c>
      <c r="F249" s="5" t="n">
        <v>0</v>
      </c>
      <c r="G249" s="5" t="n">
        <v>169</v>
      </c>
      <c r="H249" s="5" t="n">
        <v>207</v>
      </c>
      <c r="I249" s="5" t="n">
        <v>29.2</v>
      </c>
      <c r="J249" s="5" t="n">
        <v>124.8</v>
      </c>
      <c r="K249" s="5" t="n">
        <v>11</v>
      </c>
    </row>
    <row r="250" customFormat="false" ht="15" hidden="false" customHeight="false" outlineLevel="0" collapsed="false">
      <c r="A250" s="5" t="n">
        <v>465</v>
      </c>
      <c r="B250" s="5" t="n">
        <v>5</v>
      </c>
      <c r="C250" s="5" t="n">
        <v>732</v>
      </c>
      <c r="D250" s="5" t="n">
        <v>12</v>
      </c>
      <c r="E250" s="5" t="n">
        <v>5.2</v>
      </c>
      <c r="F250" s="5" t="n">
        <v>0</v>
      </c>
      <c r="G250" s="5" t="n">
        <v>160.7</v>
      </c>
      <c r="H250" s="5" t="n">
        <v>198.7</v>
      </c>
      <c r="I250" s="5" t="n">
        <v>28</v>
      </c>
      <c r="J250" s="5" t="n">
        <v>137.7</v>
      </c>
      <c r="K250" s="5" t="n">
        <v>11</v>
      </c>
    </row>
    <row r="251" customFormat="false" ht="15" hidden="false" customHeight="false" outlineLevel="0" collapsed="false">
      <c r="A251" s="5" t="n">
        <v>470</v>
      </c>
      <c r="B251" s="5" t="n">
        <v>5</v>
      </c>
      <c r="C251" s="5" t="n">
        <v>731</v>
      </c>
      <c r="D251" s="5" t="n">
        <v>11.9</v>
      </c>
      <c r="E251" s="5" t="n">
        <v>5.3</v>
      </c>
      <c r="F251" s="5" t="n">
        <v>0</v>
      </c>
      <c r="G251" s="5" t="n">
        <v>160.9</v>
      </c>
      <c r="H251" s="5" t="n">
        <v>201.5</v>
      </c>
      <c r="I251" s="5" t="n">
        <v>27.7</v>
      </c>
      <c r="J251" s="5" t="n">
        <v>155</v>
      </c>
      <c r="K251" s="5" t="n">
        <v>11</v>
      </c>
    </row>
    <row r="252" customFormat="false" ht="15" hidden="false" customHeight="false" outlineLevel="0" collapsed="false">
      <c r="A252" s="5" t="n">
        <v>475</v>
      </c>
      <c r="B252" s="5" t="n">
        <v>6</v>
      </c>
      <c r="C252" s="5" t="n">
        <v>728.4</v>
      </c>
      <c r="D252" s="5" t="n">
        <v>12.3</v>
      </c>
      <c r="E252" s="5" t="n">
        <v>5.3</v>
      </c>
      <c r="F252" s="5" t="n">
        <v>0</v>
      </c>
      <c r="G252" s="5" t="n">
        <v>166.4</v>
      </c>
      <c r="H252" s="5" t="n">
        <v>198.7</v>
      </c>
      <c r="I252" s="5" t="n">
        <v>28.6</v>
      </c>
      <c r="J252" s="5" t="n">
        <v>139.6</v>
      </c>
      <c r="K252" s="5" t="n">
        <v>11</v>
      </c>
    </row>
    <row r="253" customFormat="false" ht="15" hidden="false" customHeight="false" outlineLevel="0" collapsed="false">
      <c r="A253" s="5" t="n">
        <v>480</v>
      </c>
      <c r="B253" s="5" t="n">
        <v>6</v>
      </c>
      <c r="C253" s="5" t="n">
        <v>822.2</v>
      </c>
      <c r="D253" s="5" t="n">
        <v>12</v>
      </c>
      <c r="E253" s="5" t="n">
        <v>5.2</v>
      </c>
      <c r="F253" s="5" t="n">
        <v>0</v>
      </c>
      <c r="G253" s="5" t="n">
        <v>99.2</v>
      </c>
      <c r="H253" s="5" t="n">
        <v>124</v>
      </c>
      <c r="I253" s="5" t="n">
        <v>28.3</v>
      </c>
      <c r="J253" s="5" t="n">
        <v>160.4</v>
      </c>
      <c r="K253" s="5" t="n">
        <v>11</v>
      </c>
    </row>
    <row r="254" customFormat="false" ht="15" hidden="false" customHeight="false" outlineLevel="0" collapsed="false">
      <c r="A254" s="5" t="n">
        <v>485</v>
      </c>
      <c r="B254" s="5" t="n">
        <v>6</v>
      </c>
      <c r="C254" s="5" t="n">
        <v>888</v>
      </c>
      <c r="D254" s="5" t="n">
        <v>12.3</v>
      </c>
      <c r="E254" s="5" t="n">
        <v>5.4</v>
      </c>
      <c r="F254" s="5" t="n">
        <v>0</v>
      </c>
      <c r="G254" s="5" t="n">
        <v>163.9</v>
      </c>
      <c r="H254" s="5" t="n">
        <v>202.2</v>
      </c>
      <c r="I254" s="5" t="n">
        <v>28.1</v>
      </c>
      <c r="J254" s="5" t="n">
        <v>142.9</v>
      </c>
      <c r="K254" s="5" t="n">
        <v>11</v>
      </c>
    </row>
    <row r="255" customFormat="false" ht="15" hidden="false" customHeight="false" outlineLevel="0" collapsed="false">
      <c r="A255" s="5" t="n">
        <v>490</v>
      </c>
      <c r="B255" s="5" t="n">
        <v>5</v>
      </c>
      <c r="C255" s="5" t="n">
        <v>736.6</v>
      </c>
      <c r="D255" s="5" t="n">
        <v>12.6</v>
      </c>
      <c r="E255" s="5" t="n">
        <v>5.5</v>
      </c>
      <c r="F255" s="5" t="n">
        <v>0</v>
      </c>
      <c r="G255" s="5" t="n">
        <v>166.9</v>
      </c>
      <c r="H255" s="5" t="n">
        <v>205.1</v>
      </c>
      <c r="I255" s="5" t="n">
        <v>28.7</v>
      </c>
      <c r="J255" s="5" t="n">
        <v>177.2</v>
      </c>
      <c r="K255" s="5" t="n">
        <v>11</v>
      </c>
    </row>
    <row r="256" customFormat="false" ht="15" hidden="false" customHeight="false" outlineLevel="0" collapsed="false">
      <c r="A256" s="5" t="n">
        <v>495</v>
      </c>
      <c r="B256" s="5" t="n">
        <v>4</v>
      </c>
      <c r="C256" s="5" t="n">
        <v>732.8</v>
      </c>
      <c r="D256" s="5" t="n">
        <v>13.2</v>
      </c>
      <c r="E256" s="5" t="n">
        <v>5.7</v>
      </c>
      <c r="F256" s="5" t="n">
        <v>0</v>
      </c>
      <c r="G256" s="5" t="n">
        <v>168.5</v>
      </c>
      <c r="H256" s="5" t="n">
        <v>209.5</v>
      </c>
      <c r="I256" s="5" t="n">
        <v>29.3</v>
      </c>
      <c r="J256" s="5" t="n">
        <v>147.6</v>
      </c>
      <c r="K256" s="5" t="n">
        <v>11</v>
      </c>
    </row>
    <row r="257" customFormat="false" ht="15" hidden="false" customHeight="false" outlineLevel="0" collapsed="false">
      <c r="A257" s="5" t="n">
        <v>500</v>
      </c>
      <c r="B257" s="5" t="n">
        <v>4</v>
      </c>
      <c r="C257" s="5" t="n">
        <v>732.6</v>
      </c>
      <c r="D257" s="5" t="n">
        <v>12.7</v>
      </c>
      <c r="E257" s="5" t="n">
        <v>5.4</v>
      </c>
      <c r="F257" s="5" t="n">
        <v>0</v>
      </c>
      <c r="G257" s="5" t="n">
        <v>167.5</v>
      </c>
      <c r="H257" s="5" t="n">
        <v>208.3</v>
      </c>
      <c r="I257" s="5" t="n">
        <v>28.9</v>
      </c>
      <c r="J257" s="5" t="n">
        <v>144.5</v>
      </c>
      <c r="K257" s="5" t="n">
        <v>11</v>
      </c>
    </row>
    <row r="258" customFormat="false" ht="15" hidden="false" customHeight="false" outlineLevel="0" collapsed="false">
      <c r="A258" s="5" t="n">
        <v>505</v>
      </c>
      <c r="B258" s="5" t="n">
        <v>6</v>
      </c>
      <c r="C258" s="5" t="n">
        <v>741.4</v>
      </c>
      <c r="D258" s="5" t="n">
        <v>11.4</v>
      </c>
      <c r="E258" s="5" t="n">
        <v>5.1</v>
      </c>
      <c r="F258" s="5" t="n">
        <v>0</v>
      </c>
      <c r="G258" s="5" t="n">
        <v>159.8</v>
      </c>
      <c r="H258" s="5" t="n">
        <v>198.2</v>
      </c>
      <c r="I258" s="5" t="n">
        <v>27.8</v>
      </c>
      <c r="J258" s="5" t="n">
        <v>202.6</v>
      </c>
      <c r="K258" s="5" t="n">
        <v>11</v>
      </c>
    </row>
    <row r="259" customFormat="false" ht="15" hidden="false" customHeight="false" outlineLevel="0" collapsed="false">
      <c r="A259" s="5" t="n">
        <v>510</v>
      </c>
      <c r="B259" s="5" t="n">
        <v>4</v>
      </c>
      <c r="C259" s="5" t="n">
        <v>632.6</v>
      </c>
      <c r="D259" s="5" t="n">
        <v>12.5</v>
      </c>
      <c r="E259" s="5" t="n">
        <v>5.5</v>
      </c>
      <c r="F259" s="5" t="n">
        <v>0</v>
      </c>
      <c r="G259" s="5" t="n">
        <v>139.1</v>
      </c>
      <c r="H259" s="5" t="n">
        <v>172.3</v>
      </c>
      <c r="I259" s="5" t="n">
        <v>24.6</v>
      </c>
      <c r="J259" s="5" t="n">
        <v>176.7</v>
      </c>
      <c r="K259" s="5" t="n">
        <v>11</v>
      </c>
    </row>
    <row r="262" customFormat="false" ht="15" hidden="false" customHeight="false" outlineLevel="0" collapsed="false">
      <c r="A262" s="3" t="s">
        <v>36</v>
      </c>
    </row>
    <row r="263" customFormat="false" ht="30" hidden="false" customHeight="true" outlineLevel="0" collapsed="false">
      <c r="A263" s="4" t="s">
        <v>831</v>
      </c>
      <c r="B263" s="4" t="s">
        <v>832</v>
      </c>
      <c r="C263" s="4" t="s">
        <v>833</v>
      </c>
      <c r="D263" s="4" t="s">
        <v>29</v>
      </c>
      <c r="E263" s="4" t="s">
        <v>655</v>
      </c>
      <c r="F263" s="4" t="s">
        <v>534</v>
      </c>
      <c r="G263" s="4" t="s">
        <v>821</v>
      </c>
      <c r="H263" s="4" t="s">
        <v>834</v>
      </c>
      <c r="I263" s="4" t="s">
        <v>835</v>
      </c>
      <c r="J263" s="4" t="s">
        <v>836</v>
      </c>
      <c r="K263" s="4" t="s">
        <v>837</v>
      </c>
    </row>
    <row r="264" customFormat="false" ht="15" hidden="false" customHeight="false" outlineLevel="0" collapsed="false">
      <c r="A264" s="5" t="n">
        <v>0</v>
      </c>
      <c r="B264" s="5" t="n">
        <v>8</v>
      </c>
      <c r="C264" s="5" t="n">
        <v>692.6</v>
      </c>
      <c r="D264" s="5" t="n">
        <v>16.7</v>
      </c>
      <c r="E264" s="5" t="n">
        <v>7.5</v>
      </c>
      <c r="F264" s="5" t="n">
        <v>0</v>
      </c>
      <c r="G264" s="5" t="n">
        <v>214.1</v>
      </c>
      <c r="H264" s="5" t="n">
        <v>276.4</v>
      </c>
      <c r="I264" s="5" t="n">
        <v>42.2</v>
      </c>
      <c r="J264" s="5" t="n">
        <v>208.8</v>
      </c>
      <c r="K264" s="5" t="n">
        <v>11</v>
      </c>
    </row>
    <row r="265" customFormat="false" ht="15" hidden="false" customHeight="false" outlineLevel="0" collapsed="false">
      <c r="A265" s="5" t="n">
        <v>5</v>
      </c>
      <c r="B265" s="5" t="n">
        <v>10</v>
      </c>
      <c r="C265" s="5" t="n">
        <v>844.2</v>
      </c>
      <c r="D265" s="5" t="n">
        <v>15.9</v>
      </c>
      <c r="E265" s="5" t="n">
        <v>7</v>
      </c>
      <c r="F265" s="5" t="n">
        <v>0</v>
      </c>
      <c r="G265" s="5" t="n">
        <v>241.8</v>
      </c>
      <c r="H265" s="5" t="n">
        <v>319</v>
      </c>
      <c r="I265" s="5" t="n">
        <v>43.6</v>
      </c>
      <c r="J265" s="5" t="n">
        <v>177.4</v>
      </c>
      <c r="K265" s="5" t="n">
        <v>11</v>
      </c>
    </row>
    <row r="266" customFormat="false" ht="15" hidden="false" customHeight="false" outlineLevel="0" collapsed="false">
      <c r="A266" s="5" t="n">
        <v>10</v>
      </c>
      <c r="B266" s="5" t="n">
        <v>5</v>
      </c>
      <c r="C266" s="5" t="n">
        <v>927.8</v>
      </c>
      <c r="D266" s="5" t="n">
        <v>12</v>
      </c>
      <c r="E266" s="5" t="n">
        <v>5.4</v>
      </c>
      <c r="F266" s="5" t="n">
        <v>0</v>
      </c>
      <c r="G266" s="5" t="n">
        <v>203.4</v>
      </c>
      <c r="H266" s="5" t="n">
        <v>265.3</v>
      </c>
      <c r="I266" s="5" t="n">
        <v>36.2</v>
      </c>
      <c r="J266" s="5" t="n">
        <v>170.5</v>
      </c>
      <c r="K266" s="5" t="n">
        <v>11</v>
      </c>
    </row>
    <row r="267" customFormat="false" ht="15" hidden="false" customHeight="false" outlineLevel="0" collapsed="false">
      <c r="A267" s="5" t="n">
        <v>15</v>
      </c>
      <c r="B267" s="5" t="n">
        <v>9</v>
      </c>
      <c r="C267" s="5" t="n">
        <v>1315.2</v>
      </c>
      <c r="D267" s="5" t="n">
        <v>11.7</v>
      </c>
      <c r="E267" s="5" t="n">
        <v>5.2</v>
      </c>
      <c r="F267" s="5" t="n">
        <v>0</v>
      </c>
      <c r="G267" s="5" t="n">
        <v>88.6</v>
      </c>
      <c r="H267" s="5" t="n">
        <v>118</v>
      </c>
      <c r="I267" s="5" t="n">
        <v>38.5</v>
      </c>
      <c r="J267" s="5" t="n">
        <v>179.2</v>
      </c>
      <c r="K267" s="5" t="n">
        <v>11</v>
      </c>
    </row>
    <row r="268" customFormat="false" ht="15" hidden="false" customHeight="false" outlineLevel="0" collapsed="false">
      <c r="A268" s="5" t="n">
        <v>20</v>
      </c>
      <c r="B268" s="5" t="n">
        <v>7</v>
      </c>
      <c r="C268" s="5" t="n">
        <v>1113.6</v>
      </c>
      <c r="D268" s="5" t="n">
        <v>11.7</v>
      </c>
      <c r="E268" s="5" t="n">
        <v>5.2</v>
      </c>
      <c r="F268" s="5" t="n">
        <v>0</v>
      </c>
      <c r="G268" s="5" t="n">
        <v>236.3</v>
      </c>
      <c r="H268" s="5" t="n">
        <v>309</v>
      </c>
      <c r="I268" s="5" t="n">
        <v>42.5</v>
      </c>
      <c r="J268" s="5" t="n">
        <v>247.2</v>
      </c>
      <c r="K268" s="5" t="n">
        <v>11</v>
      </c>
    </row>
    <row r="269" customFormat="false" ht="15" hidden="false" customHeight="false" outlineLevel="0" collapsed="false">
      <c r="A269" s="5" t="n">
        <v>25</v>
      </c>
      <c r="B269" s="5" t="n">
        <v>8</v>
      </c>
      <c r="C269" s="5" t="n">
        <v>1201.8</v>
      </c>
      <c r="D269" s="5" t="n">
        <v>11.9</v>
      </c>
      <c r="E269" s="5" t="n">
        <v>5.2</v>
      </c>
      <c r="F269" s="5" t="n">
        <v>0</v>
      </c>
      <c r="G269" s="5" t="n">
        <v>247.7</v>
      </c>
      <c r="H269" s="5" t="n">
        <v>327</v>
      </c>
      <c r="I269" s="5" t="n">
        <v>45.6</v>
      </c>
      <c r="J269" s="5" t="n">
        <v>177.1</v>
      </c>
      <c r="K269" s="5" t="n">
        <v>11</v>
      </c>
    </row>
    <row r="270" customFormat="false" ht="15" hidden="false" customHeight="false" outlineLevel="0" collapsed="false">
      <c r="A270" s="5" t="n">
        <v>30</v>
      </c>
      <c r="B270" s="5" t="n">
        <v>11</v>
      </c>
      <c r="C270" s="5" t="n">
        <v>1228.4</v>
      </c>
      <c r="D270" s="5" t="n">
        <v>11.8</v>
      </c>
      <c r="E270" s="5" t="n">
        <v>5.2</v>
      </c>
      <c r="F270" s="5" t="n">
        <v>0</v>
      </c>
      <c r="G270" s="5" t="n">
        <v>253.7</v>
      </c>
      <c r="H270" s="5" t="n">
        <v>335</v>
      </c>
      <c r="I270" s="5" t="n">
        <v>46.2</v>
      </c>
      <c r="J270" s="5" t="n">
        <v>236.2</v>
      </c>
      <c r="K270" s="5" t="n">
        <v>11</v>
      </c>
    </row>
    <row r="271" customFormat="false" ht="15" hidden="false" customHeight="false" outlineLevel="0" collapsed="false">
      <c r="A271" s="5" t="n">
        <v>35</v>
      </c>
      <c r="B271" s="5" t="n">
        <v>8</v>
      </c>
      <c r="C271" s="5" t="n">
        <v>1222.2</v>
      </c>
      <c r="D271" s="5" t="n">
        <v>11.5</v>
      </c>
      <c r="E271" s="5" t="n">
        <v>5.1</v>
      </c>
      <c r="F271" s="5" t="n">
        <v>0</v>
      </c>
      <c r="G271" s="5" t="n">
        <v>252.9</v>
      </c>
      <c r="H271" s="5" t="n">
        <v>331.7</v>
      </c>
      <c r="I271" s="5" t="n">
        <v>45.1</v>
      </c>
      <c r="J271" s="5" t="n">
        <v>199.9</v>
      </c>
      <c r="K271" s="5" t="n">
        <v>11</v>
      </c>
    </row>
    <row r="272" customFormat="false" ht="15" hidden="false" customHeight="false" outlineLevel="0" collapsed="false">
      <c r="A272" s="5" t="n">
        <v>40</v>
      </c>
      <c r="B272" s="5" t="n">
        <v>9</v>
      </c>
      <c r="C272" s="5" t="n">
        <v>1214.2</v>
      </c>
      <c r="D272" s="5" t="n">
        <v>11.8</v>
      </c>
      <c r="E272" s="5" t="n">
        <v>5.2</v>
      </c>
      <c r="F272" s="5" t="n">
        <v>0</v>
      </c>
      <c r="G272" s="5" t="n">
        <v>255.8</v>
      </c>
      <c r="H272" s="5" t="n">
        <v>335</v>
      </c>
      <c r="I272" s="5" t="n">
        <v>46.5</v>
      </c>
      <c r="J272" s="5" t="n">
        <v>185.7</v>
      </c>
      <c r="K272" s="5" t="n">
        <v>11</v>
      </c>
    </row>
    <row r="273" customFormat="false" ht="15" hidden="false" customHeight="false" outlineLevel="0" collapsed="false">
      <c r="A273" s="5" t="n">
        <v>45</v>
      </c>
      <c r="B273" s="5" t="n">
        <v>10</v>
      </c>
      <c r="C273" s="5" t="n">
        <v>1531</v>
      </c>
      <c r="D273" s="5" t="n">
        <v>11.6</v>
      </c>
      <c r="E273" s="5" t="n">
        <v>5.1</v>
      </c>
      <c r="F273" s="5" t="n">
        <v>0</v>
      </c>
      <c r="G273" s="5" t="n">
        <v>103.8</v>
      </c>
      <c r="H273" s="5" t="n">
        <v>138.7</v>
      </c>
      <c r="I273" s="5" t="n">
        <v>45.3</v>
      </c>
      <c r="J273" s="5" t="n">
        <v>225.2</v>
      </c>
      <c r="K273" s="5" t="n">
        <v>11</v>
      </c>
    </row>
    <row r="274" customFormat="false" ht="15" hidden="false" customHeight="false" outlineLevel="0" collapsed="false">
      <c r="A274" s="5" t="n">
        <v>50</v>
      </c>
      <c r="B274" s="5" t="n">
        <v>10</v>
      </c>
      <c r="C274" s="5" t="n">
        <v>1257</v>
      </c>
      <c r="D274" s="5" t="n">
        <v>11.5</v>
      </c>
      <c r="E274" s="5" t="n">
        <v>5</v>
      </c>
      <c r="F274" s="5" t="n">
        <v>0</v>
      </c>
      <c r="G274" s="5" t="n">
        <v>251.3</v>
      </c>
      <c r="H274" s="5" t="n">
        <v>330.2</v>
      </c>
      <c r="I274" s="5" t="n">
        <v>44.6</v>
      </c>
      <c r="J274" s="5" t="n">
        <v>252.2</v>
      </c>
      <c r="K274" s="5" t="n">
        <v>11</v>
      </c>
    </row>
    <row r="275" customFormat="false" ht="15" hidden="false" customHeight="false" outlineLevel="0" collapsed="false">
      <c r="A275" s="5" t="n">
        <v>55</v>
      </c>
      <c r="B275" s="5" t="n">
        <v>9</v>
      </c>
      <c r="C275" s="5" t="n">
        <v>1222.6</v>
      </c>
      <c r="D275" s="5" t="n">
        <v>12</v>
      </c>
      <c r="E275" s="5" t="n">
        <v>5.4</v>
      </c>
      <c r="F275" s="5" t="n">
        <v>0</v>
      </c>
      <c r="G275" s="5" t="n">
        <v>257.2</v>
      </c>
      <c r="H275" s="5" t="n">
        <v>339.4</v>
      </c>
      <c r="I275" s="5" t="n">
        <v>47.7</v>
      </c>
      <c r="J275" s="5" t="n">
        <v>175</v>
      </c>
      <c r="K275" s="5" t="n">
        <v>11</v>
      </c>
    </row>
    <row r="276" customFormat="false" ht="15" hidden="false" customHeight="false" outlineLevel="0" collapsed="false">
      <c r="A276" s="5" t="n">
        <v>60</v>
      </c>
      <c r="B276" s="5" t="n">
        <v>8</v>
      </c>
      <c r="C276" s="5" t="n">
        <v>1226.6</v>
      </c>
      <c r="D276" s="5" t="n">
        <v>11.8</v>
      </c>
      <c r="E276" s="5" t="n">
        <v>5.2</v>
      </c>
      <c r="F276" s="5" t="n">
        <v>0</v>
      </c>
      <c r="G276" s="5" t="n">
        <v>255.8</v>
      </c>
      <c r="H276" s="5" t="n">
        <v>338</v>
      </c>
      <c r="I276" s="5" t="n">
        <v>45.7</v>
      </c>
      <c r="J276" s="5" t="n">
        <v>198.3</v>
      </c>
      <c r="K276" s="5" t="n">
        <v>11</v>
      </c>
    </row>
    <row r="277" customFormat="false" ht="15" hidden="false" customHeight="false" outlineLevel="0" collapsed="false">
      <c r="A277" s="5" t="n">
        <v>65</v>
      </c>
      <c r="B277" s="5" t="n">
        <v>9</v>
      </c>
      <c r="C277" s="5" t="n">
        <v>1224.6</v>
      </c>
      <c r="D277" s="5" t="n">
        <v>11.8</v>
      </c>
      <c r="E277" s="5" t="n">
        <v>5.2</v>
      </c>
      <c r="F277" s="5" t="n">
        <v>0</v>
      </c>
      <c r="G277" s="5" t="n">
        <v>255.3</v>
      </c>
      <c r="H277" s="5" t="n">
        <v>334.2</v>
      </c>
      <c r="I277" s="5" t="n">
        <v>45.8</v>
      </c>
      <c r="J277" s="5" t="n">
        <v>225.5</v>
      </c>
      <c r="K277" s="5" t="n">
        <v>11</v>
      </c>
    </row>
    <row r="278" customFormat="false" ht="15" hidden="false" customHeight="false" outlineLevel="0" collapsed="false">
      <c r="A278" s="5" t="n">
        <v>70</v>
      </c>
      <c r="B278" s="5" t="n">
        <v>8</v>
      </c>
      <c r="C278" s="5" t="n">
        <v>1223.6</v>
      </c>
      <c r="D278" s="5" t="n">
        <v>11.9</v>
      </c>
      <c r="E278" s="5" t="n">
        <v>5.3</v>
      </c>
      <c r="F278" s="5" t="n">
        <v>0</v>
      </c>
      <c r="G278" s="5" t="n">
        <v>253.6</v>
      </c>
      <c r="H278" s="5" t="n">
        <v>329.6</v>
      </c>
      <c r="I278" s="5" t="n">
        <v>46.2</v>
      </c>
      <c r="J278" s="5" t="n">
        <v>250.7</v>
      </c>
      <c r="K278" s="5" t="n">
        <v>11</v>
      </c>
    </row>
    <row r="279" customFormat="false" ht="15" hidden="false" customHeight="false" outlineLevel="0" collapsed="false">
      <c r="A279" s="5" t="n">
        <v>75</v>
      </c>
      <c r="B279" s="5" t="n">
        <v>8</v>
      </c>
      <c r="C279" s="5" t="n">
        <v>1325.6</v>
      </c>
      <c r="D279" s="5" t="n">
        <v>11.4</v>
      </c>
      <c r="E279" s="5" t="n">
        <v>5</v>
      </c>
      <c r="F279" s="5" t="n">
        <v>0</v>
      </c>
      <c r="G279" s="5" t="n">
        <v>99.3</v>
      </c>
      <c r="H279" s="5" t="n">
        <v>132</v>
      </c>
      <c r="I279" s="5" t="n">
        <v>44.9</v>
      </c>
      <c r="J279" s="5" t="n">
        <v>207.2</v>
      </c>
      <c r="K279" s="5" t="n">
        <v>11</v>
      </c>
    </row>
    <row r="280" customFormat="false" ht="15" hidden="false" customHeight="false" outlineLevel="0" collapsed="false">
      <c r="A280" s="5" t="n">
        <v>80</v>
      </c>
      <c r="B280" s="5" t="n">
        <v>8</v>
      </c>
      <c r="C280" s="5" t="n">
        <v>1460.8</v>
      </c>
      <c r="D280" s="5" t="n">
        <v>11.6</v>
      </c>
      <c r="E280" s="5" t="n">
        <v>5.1</v>
      </c>
      <c r="F280" s="5" t="n">
        <v>0</v>
      </c>
      <c r="G280" s="5" t="n">
        <v>251.5</v>
      </c>
      <c r="H280" s="5" t="n">
        <v>328.9</v>
      </c>
      <c r="I280" s="5" t="n">
        <v>45</v>
      </c>
      <c r="J280" s="5" t="n">
        <v>239.5</v>
      </c>
      <c r="K280" s="5" t="n">
        <v>11</v>
      </c>
    </row>
    <row r="281" customFormat="false" ht="15" hidden="false" customHeight="false" outlineLevel="0" collapsed="false">
      <c r="A281" s="5" t="n">
        <v>85</v>
      </c>
      <c r="B281" s="5" t="n">
        <v>10</v>
      </c>
      <c r="C281" s="5" t="n">
        <v>1266.4</v>
      </c>
      <c r="D281" s="5" t="n">
        <v>11.8</v>
      </c>
      <c r="E281" s="5" t="n">
        <v>5.3</v>
      </c>
      <c r="F281" s="5" t="n">
        <v>0</v>
      </c>
      <c r="G281" s="5" t="n">
        <v>264.8</v>
      </c>
      <c r="H281" s="5" t="n">
        <v>349.1</v>
      </c>
      <c r="I281" s="5" t="n">
        <v>48.1</v>
      </c>
      <c r="J281" s="5" t="n">
        <v>240.3</v>
      </c>
      <c r="K281" s="5" t="n">
        <v>11</v>
      </c>
    </row>
    <row r="282" customFormat="false" ht="15" hidden="false" customHeight="false" outlineLevel="0" collapsed="false">
      <c r="A282" s="5" t="n">
        <v>90</v>
      </c>
      <c r="B282" s="5" t="n">
        <v>7</v>
      </c>
      <c r="C282" s="5" t="n">
        <v>1343</v>
      </c>
      <c r="D282" s="5" t="n">
        <v>11.8</v>
      </c>
      <c r="E282" s="5" t="n">
        <v>5.2</v>
      </c>
      <c r="F282" s="5" t="n">
        <v>0</v>
      </c>
      <c r="G282" s="5" t="n">
        <v>280.9</v>
      </c>
      <c r="H282" s="5" t="n">
        <v>369.5</v>
      </c>
      <c r="I282" s="5" t="n">
        <v>50.2</v>
      </c>
      <c r="J282" s="5" t="n">
        <v>228.6</v>
      </c>
      <c r="K282" s="5" t="n">
        <v>11</v>
      </c>
    </row>
    <row r="283" customFormat="false" ht="15" hidden="false" customHeight="false" outlineLevel="0" collapsed="false">
      <c r="A283" s="5" t="n">
        <v>95</v>
      </c>
      <c r="B283" s="5" t="n">
        <v>487</v>
      </c>
      <c r="C283" s="5" t="n">
        <v>1297.2</v>
      </c>
      <c r="D283" s="5" t="n">
        <v>459.3</v>
      </c>
      <c r="E283" s="5" t="n">
        <v>145</v>
      </c>
      <c r="F283" s="5" t="n">
        <v>0</v>
      </c>
      <c r="G283" s="5" t="n">
        <v>390.8</v>
      </c>
      <c r="H283" s="5" t="n">
        <v>524.1</v>
      </c>
      <c r="I283" s="5" t="n">
        <v>73.2</v>
      </c>
      <c r="J283" s="5" t="n">
        <v>162.5</v>
      </c>
      <c r="K283" s="5" t="n">
        <v>11</v>
      </c>
    </row>
    <row r="284" customFormat="false" ht="15" hidden="false" customHeight="false" outlineLevel="0" collapsed="false">
      <c r="A284" s="5" t="n">
        <v>100</v>
      </c>
      <c r="B284" s="5" t="n">
        <v>533</v>
      </c>
      <c r="C284" s="5" t="n">
        <v>1646</v>
      </c>
      <c r="D284" s="5" t="n">
        <v>521.8</v>
      </c>
      <c r="E284" s="5" t="n">
        <v>151.6</v>
      </c>
      <c r="F284" s="5" t="n">
        <v>0</v>
      </c>
      <c r="G284" s="5" t="n">
        <v>385.6</v>
      </c>
      <c r="H284" s="5" t="n">
        <v>509.8</v>
      </c>
      <c r="I284" s="5" t="n">
        <v>67.9</v>
      </c>
      <c r="J284" s="5" t="n">
        <v>211.8</v>
      </c>
      <c r="K284" s="5" t="n">
        <v>11</v>
      </c>
    </row>
    <row r="285" customFormat="false" ht="15" hidden="false" customHeight="false" outlineLevel="0" collapsed="false">
      <c r="A285" s="5" t="n">
        <v>105</v>
      </c>
      <c r="B285" s="5" t="n">
        <v>1020</v>
      </c>
      <c r="C285" s="5" t="n">
        <v>1198</v>
      </c>
      <c r="D285" s="5" t="n">
        <v>917</v>
      </c>
      <c r="E285" s="5" t="n">
        <v>386.8</v>
      </c>
      <c r="F285" s="5" t="n">
        <v>0</v>
      </c>
      <c r="G285" s="5" t="n">
        <v>403.4</v>
      </c>
      <c r="H285" s="5" t="n">
        <v>541.8</v>
      </c>
      <c r="I285" s="5" t="n">
        <v>75.8</v>
      </c>
      <c r="J285" s="5" t="n">
        <v>241.6</v>
      </c>
      <c r="K285" s="5" t="n">
        <v>11</v>
      </c>
    </row>
    <row r="286" customFormat="false" ht="15" hidden="false" customHeight="false" outlineLevel="0" collapsed="false">
      <c r="A286" s="5" t="n">
        <v>110</v>
      </c>
      <c r="B286" s="5" t="n">
        <v>1987</v>
      </c>
      <c r="C286" s="5" t="n">
        <v>1404.8</v>
      </c>
      <c r="D286" s="5" t="n">
        <v>1779.8</v>
      </c>
      <c r="E286" s="5" t="n">
        <v>981.4</v>
      </c>
      <c r="F286" s="5" t="n">
        <v>0</v>
      </c>
      <c r="G286" s="5" t="n">
        <v>137.5</v>
      </c>
      <c r="H286" s="5" t="n">
        <v>183.1</v>
      </c>
      <c r="I286" s="5" t="n">
        <v>80.6</v>
      </c>
      <c r="J286" s="5" t="n">
        <v>261.2</v>
      </c>
      <c r="K286" s="5" t="n">
        <v>11</v>
      </c>
    </row>
    <row r="287" customFormat="false" ht="15" hidden="false" customHeight="false" outlineLevel="0" collapsed="false">
      <c r="A287" s="5" t="n">
        <v>115</v>
      </c>
      <c r="B287" s="5" t="n">
        <v>2798</v>
      </c>
      <c r="C287" s="5" t="n">
        <v>1111.8</v>
      </c>
      <c r="D287" s="5" t="n">
        <v>2457.1</v>
      </c>
      <c r="E287" s="5" t="n">
        <v>1926.5</v>
      </c>
      <c r="F287" s="5" t="n">
        <v>0</v>
      </c>
      <c r="G287" s="5" t="n">
        <v>410.5</v>
      </c>
      <c r="H287" s="5" t="n">
        <v>563.9</v>
      </c>
      <c r="I287" s="5" t="n">
        <v>81</v>
      </c>
      <c r="J287" s="5" t="n">
        <v>272</v>
      </c>
      <c r="K287" s="5" t="n">
        <v>11</v>
      </c>
    </row>
    <row r="288" customFormat="false" ht="15" hidden="false" customHeight="false" outlineLevel="0" collapsed="false">
      <c r="A288" s="5" t="n">
        <v>120</v>
      </c>
      <c r="B288" s="5" t="n">
        <v>3000</v>
      </c>
      <c r="C288" s="5" t="n">
        <v>1064.8</v>
      </c>
      <c r="D288" s="5" t="n">
        <v>3156.5</v>
      </c>
      <c r="E288" s="5" t="n">
        <v>2616.2</v>
      </c>
      <c r="F288" s="5" t="n">
        <v>0</v>
      </c>
      <c r="G288" s="5" t="n">
        <v>390.1</v>
      </c>
      <c r="H288" s="5" t="n">
        <v>536</v>
      </c>
      <c r="I288" s="5" t="n">
        <v>78.4</v>
      </c>
      <c r="J288" s="5" t="n">
        <v>293.9</v>
      </c>
      <c r="K288" s="5" t="n">
        <v>11</v>
      </c>
    </row>
    <row r="289" customFormat="false" ht="15" hidden="false" customHeight="false" outlineLevel="0" collapsed="false">
      <c r="A289" s="5" t="n">
        <v>125</v>
      </c>
      <c r="B289" s="5" t="n">
        <v>3000</v>
      </c>
      <c r="C289" s="5" t="n">
        <v>1120.4</v>
      </c>
      <c r="D289" s="5" t="n">
        <v>3100.4</v>
      </c>
      <c r="E289" s="5" t="n">
        <v>2671</v>
      </c>
      <c r="F289" s="5" t="n">
        <v>0</v>
      </c>
      <c r="G289" s="5" t="n">
        <v>403.3</v>
      </c>
      <c r="H289" s="5" t="n">
        <v>559.4</v>
      </c>
      <c r="I289" s="5" t="n">
        <v>78.1</v>
      </c>
      <c r="J289" s="5" t="n">
        <v>282.9</v>
      </c>
      <c r="K289" s="5" t="n">
        <v>11</v>
      </c>
    </row>
    <row r="290" customFormat="false" ht="15" hidden="false" customHeight="false" outlineLevel="0" collapsed="false">
      <c r="A290" s="5" t="n">
        <v>130</v>
      </c>
      <c r="B290" s="5" t="n">
        <v>2999</v>
      </c>
      <c r="C290" s="5" t="n">
        <v>1140.4</v>
      </c>
      <c r="D290" s="5" t="n">
        <v>3114.7</v>
      </c>
      <c r="E290" s="5" t="n">
        <v>2688.8</v>
      </c>
      <c r="F290" s="5" t="n">
        <v>0</v>
      </c>
      <c r="G290" s="5" t="n">
        <v>422.8</v>
      </c>
      <c r="H290" s="5" t="n">
        <v>581.1</v>
      </c>
      <c r="I290" s="5" t="n">
        <v>75.4</v>
      </c>
      <c r="J290" s="5" t="n">
        <v>310.4</v>
      </c>
      <c r="K290" s="5" t="n">
        <v>11</v>
      </c>
    </row>
    <row r="291" customFormat="false" ht="15" hidden="false" customHeight="false" outlineLevel="0" collapsed="false">
      <c r="A291" s="5" t="n">
        <v>135</v>
      </c>
      <c r="B291" s="5" t="n">
        <v>3000</v>
      </c>
      <c r="C291" s="5" t="n">
        <v>1081</v>
      </c>
      <c r="D291" s="5" t="n">
        <v>3157.2</v>
      </c>
      <c r="E291" s="5" t="n">
        <v>2750.7</v>
      </c>
      <c r="F291" s="5" t="n">
        <v>0</v>
      </c>
      <c r="G291" s="5" t="n">
        <v>400.4</v>
      </c>
      <c r="H291" s="5" t="n">
        <v>555.5</v>
      </c>
      <c r="I291" s="5" t="n">
        <v>76</v>
      </c>
      <c r="J291" s="5" t="n">
        <v>296.2</v>
      </c>
      <c r="K291" s="5" t="n">
        <v>11</v>
      </c>
    </row>
    <row r="292" customFormat="false" ht="15" hidden="false" customHeight="false" outlineLevel="0" collapsed="false">
      <c r="A292" s="5" t="n">
        <v>140</v>
      </c>
      <c r="B292" s="5" t="n">
        <v>3000</v>
      </c>
      <c r="C292" s="5" t="n">
        <v>1484.2</v>
      </c>
      <c r="D292" s="5" t="n">
        <v>2904.5</v>
      </c>
      <c r="E292" s="5" t="n">
        <v>2010.5</v>
      </c>
      <c r="F292" s="5" t="n">
        <v>0</v>
      </c>
      <c r="G292" s="5" t="n">
        <v>156.9</v>
      </c>
      <c r="H292" s="5" t="n">
        <v>215.8</v>
      </c>
      <c r="I292" s="5" t="n">
        <v>76.5</v>
      </c>
      <c r="J292" s="5" t="n">
        <v>284.7</v>
      </c>
      <c r="K292" s="5" t="n">
        <v>11</v>
      </c>
    </row>
    <row r="293" customFormat="false" ht="15" hidden="false" customHeight="false" outlineLevel="0" collapsed="false">
      <c r="A293" s="5" t="n">
        <v>145</v>
      </c>
      <c r="B293" s="5" t="n">
        <v>3000</v>
      </c>
      <c r="C293" s="5" t="n">
        <v>1132</v>
      </c>
      <c r="D293" s="5" t="n">
        <v>3067.5</v>
      </c>
      <c r="E293" s="5" t="n">
        <v>2673.5</v>
      </c>
      <c r="F293" s="5" t="n">
        <v>0</v>
      </c>
      <c r="G293" s="5" t="n">
        <v>415.2</v>
      </c>
      <c r="H293" s="5" t="n">
        <v>574.9</v>
      </c>
      <c r="I293" s="5" t="n">
        <v>76.3</v>
      </c>
      <c r="J293" s="5" t="n">
        <v>290</v>
      </c>
      <c r="K293" s="5" t="n">
        <v>11</v>
      </c>
    </row>
    <row r="294" customFormat="false" ht="15" hidden="false" customHeight="false" outlineLevel="0" collapsed="false">
      <c r="A294" s="5" t="n">
        <v>150</v>
      </c>
      <c r="B294" s="5" t="n">
        <v>3000</v>
      </c>
      <c r="C294" s="5" t="n">
        <v>1128.2</v>
      </c>
      <c r="D294" s="5" t="n">
        <v>3035.6</v>
      </c>
      <c r="E294" s="5" t="n">
        <v>2626.4</v>
      </c>
      <c r="F294" s="5" t="n">
        <v>0</v>
      </c>
      <c r="G294" s="5" t="n">
        <v>405.3</v>
      </c>
      <c r="H294" s="5" t="n">
        <v>559.2</v>
      </c>
      <c r="I294" s="5" t="n">
        <v>75.3</v>
      </c>
      <c r="J294" s="5" t="n">
        <v>313.7</v>
      </c>
      <c r="K294" s="5" t="n">
        <v>11</v>
      </c>
    </row>
    <row r="295" customFormat="false" ht="15" hidden="false" customHeight="false" outlineLevel="0" collapsed="false">
      <c r="A295" s="5" t="n">
        <v>155</v>
      </c>
      <c r="B295" s="5" t="n">
        <v>3000</v>
      </c>
      <c r="C295" s="5" t="n">
        <v>1119.4</v>
      </c>
      <c r="D295" s="5" t="n">
        <v>3120.5</v>
      </c>
      <c r="E295" s="5" t="n">
        <v>2706.6</v>
      </c>
      <c r="F295" s="5" t="n">
        <v>0</v>
      </c>
      <c r="G295" s="5" t="n">
        <v>408.8</v>
      </c>
      <c r="H295" s="5" t="n">
        <v>566.3</v>
      </c>
      <c r="I295" s="5" t="n">
        <v>76.5</v>
      </c>
      <c r="J295" s="5" t="n">
        <v>273.8</v>
      </c>
      <c r="K295" s="5" t="n">
        <v>11</v>
      </c>
    </row>
    <row r="296" customFormat="false" ht="15" hidden="false" customHeight="false" outlineLevel="0" collapsed="false">
      <c r="A296" s="5" t="n">
        <v>160</v>
      </c>
      <c r="B296" s="5" t="n">
        <v>3000</v>
      </c>
      <c r="C296" s="5" t="n">
        <v>1120.6</v>
      </c>
      <c r="D296" s="5" t="n">
        <v>3080.7</v>
      </c>
      <c r="E296" s="5" t="n">
        <v>2676.4</v>
      </c>
      <c r="F296" s="5" t="n">
        <v>0</v>
      </c>
      <c r="G296" s="5" t="n">
        <v>399.1</v>
      </c>
      <c r="H296" s="5" t="n">
        <v>550.9</v>
      </c>
      <c r="I296" s="5" t="n">
        <v>76.1</v>
      </c>
      <c r="J296" s="5" t="n">
        <v>311.1</v>
      </c>
      <c r="K296" s="5" t="n">
        <v>11</v>
      </c>
    </row>
    <row r="297" customFormat="false" ht="15" hidden="false" customHeight="false" outlineLevel="0" collapsed="false">
      <c r="A297" s="5" t="n">
        <v>165</v>
      </c>
      <c r="B297" s="5" t="n">
        <v>3000</v>
      </c>
      <c r="C297" s="5" t="n">
        <v>1155</v>
      </c>
      <c r="D297" s="5" t="n">
        <v>2956</v>
      </c>
      <c r="E297" s="5" t="n">
        <v>2571.7</v>
      </c>
      <c r="F297" s="5" t="n">
        <v>0</v>
      </c>
      <c r="G297" s="5" t="n">
        <v>416.8</v>
      </c>
      <c r="H297" s="5" t="n">
        <v>574</v>
      </c>
      <c r="I297" s="5" t="n">
        <v>75.4</v>
      </c>
      <c r="J297" s="5" t="n">
        <v>306.5</v>
      </c>
      <c r="K297" s="5" t="n">
        <v>11</v>
      </c>
    </row>
    <row r="298" customFormat="false" ht="15" hidden="false" customHeight="false" outlineLevel="0" collapsed="false">
      <c r="A298" s="5" t="n">
        <v>170</v>
      </c>
      <c r="B298" s="5" t="n">
        <v>3000</v>
      </c>
      <c r="C298" s="5" t="n">
        <v>1389.8</v>
      </c>
      <c r="D298" s="5" t="n">
        <v>3078.7</v>
      </c>
      <c r="E298" s="5" t="n">
        <v>2213.4</v>
      </c>
      <c r="F298" s="5" t="n">
        <v>0</v>
      </c>
      <c r="G298" s="5" t="n">
        <v>86.8</v>
      </c>
      <c r="H298" s="5" t="n">
        <v>115.1</v>
      </c>
      <c r="I298" s="5" t="n">
        <v>75.8</v>
      </c>
      <c r="J298" s="5" t="n">
        <v>267.1</v>
      </c>
      <c r="K298" s="5" t="n">
        <v>11</v>
      </c>
    </row>
    <row r="299" customFormat="false" ht="15" hidden="false" customHeight="false" outlineLevel="0" collapsed="false">
      <c r="A299" s="5" t="n">
        <v>175</v>
      </c>
      <c r="B299" s="5" t="n">
        <v>3000</v>
      </c>
      <c r="C299" s="5" t="n">
        <v>1086.4</v>
      </c>
      <c r="D299" s="5" t="n">
        <v>3110.5</v>
      </c>
      <c r="E299" s="5" t="n">
        <v>2674.7</v>
      </c>
      <c r="F299" s="5" t="n">
        <v>0</v>
      </c>
      <c r="G299" s="5" t="n">
        <v>395.2</v>
      </c>
      <c r="H299" s="5" t="n">
        <v>548.4</v>
      </c>
      <c r="I299" s="5" t="n">
        <v>76.1</v>
      </c>
      <c r="J299" s="5" t="n">
        <v>292.3</v>
      </c>
      <c r="K299" s="5" t="n">
        <v>11</v>
      </c>
    </row>
    <row r="300" customFormat="false" ht="15" hidden="false" customHeight="false" outlineLevel="0" collapsed="false">
      <c r="A300" s="5" t="n">
        <v>180</v>
      </c>
      <c r="B300" s="5" t="n">
        <v>3000</v>
      </c>
      <c r="C300" s="5" t="n">
        <v>1158.8</v>
      </c>
      <c r="D300" s="5" t="n">
        <v>3029.1</v>
      </c>
      <c r="E300" s="5" t="n">
        <v>2582.8</v>
      </c>
      <c r="F300" s="5" t="n">
        <v>0</v>
      </c>
      <c r="G300" s="5" t="n">
        <v>414.4</v>
      </c>
      <c r="H300" s="5" t="n">
        <v>571.3</v>
      </c>
      <c r="I300" s="5" t="n">
        <v>76.2</v>
      </c>
      <c r="J300" s="5" t="n">
        <v>296.5</v>
      </c>
      <c r="K300" s="5" t="n">
        <v>11</v>
      </c>
    </row>
    <row r="301" customFormat="false" ht="15" hidden="false" customHeight="false" outlineLevel="0" collapsed="false">
      <c r="A301" s="5" t="n">
        <v>185</v>
      </c>
      <c r="B301" s="5" t="n">
        <v>2999</v>
      </c>
      <c r="C301" s="5" t="n">
        <v>1147.2</v>
      </c>
      <c r="D301" s="5" t="n">
        <v>3132.4</v>
      </c>
      <c r="E301" s="5" t="n">
        <v>2690.2</v>
      </c>
      <c r="F301" s="5" t="n">
        <v>0</v>
      </c>
      <c r="G301" s="5" t="n">
        <v>415.2</v>
      </c>
      <c r="H301" s="5" t="n">
        <v>567.6</v>
      </c>
      <c r="I301" s="5" t="n">
        <v>75</v>
      </c>
      <c r="J301" s="5" t="n">
        <v>287.2</v>
      </c>
      <c r="K301" s="5" t="n">
        <v>11</v>
      </c>
    </row>
    <row r="302" customFormat="false" ht="15" hidden="false" customHeight="false" outlineLevel="0" collapsed="false">
      <c r="A302" s="5" t="n">
        <v>190</v>
      </c>
      <c r="B302" s="5" t="n">
        <v>3000</v>
      </c>
      <c r="C302" s="5" t="n">
        <v>1110.8</v>
      </c>
      <c r="D302" s="5" t="n">
        <v>3054.9</v>
      </c>
      <c r="E302" s="5" t="n">
        <v>2612.1</v>
      </c>
      <c r="F302" s="5" t="n">
        <v>0</v>
      </c>
      <c r="G302" s="5" t="n">
        <v>399.8</v>
      </c>
      <c r="H302" s="5" t="n">
        <v>552</v>
      </c>
      <c r="I302" s="5" t="n">
        <v>76</v>
      </c>
      <c r="J302" s="5" t="n">
        <v>250.9</v>
      </c>
      <c r="K302" s="5" t="n">
        <v>11</v>
      </c>
    </row>
    <row r="303" customFormat="false" ht="15" hidden="false" customHeight="false" outlineLevel="0" collapsed="false">
      <c r="A303" s="5" t="n">
        <v>195</v>
      </c>
      <c r="B303" s="5" t="n">
        <v>3000</v>
      </c>
      <c r="C303" s="5" t="n">
        <v>1145</v>
      </c>
      <c r="D303" s="5" t="n">
        <v>3068.4</v>
      </c>
      <c r="E303" s="5" t="n">
        <v>2647</v>
      </c>
      <c r="F303" s="5" t="n">
        <v>0</v>
      </c>
      <c r="G303" s="5" t="n">
        <v>418.1</v>
      </c>
      <c r="H303" s="5" t="n">
        <v>579.5</v>
      </c>
      <c r="I303" s="5" t="n">
        <v>76</v>
      </c>
      <c r="J303" s="5" t="n">
        <v>339.8</v>
      </c>
      <c r="K303" s="5" t="n">
        <v>11</v>
      </c>
    </row>
    <row r="304" customFormat="false" ht="15" hidden="false" customHeight="false" outlineLevel="0" collapsed="false">
      <c r="A304" s="5" t="n">
        <v>200</v>
      </c>
      <c r="B304" s="5" t="n">
        <v>3000</v>
      </c>
      <c r="C304" s="5" t="n">
        <v>1459.8</v>
      </c>
      <c r="D304" s="5" t="n">
        <v>3056.1</v>
      </c>
      <c r="E304" s="5" t="n">
        <v>2268.6</v>
      </c>
      <c r="F304" s="5" t="n">
        <v>0</v>
      </c>
      <c r="G304" s="5" t="n">
        <v>171.3</v>
      </c>
      <c r="H304" s="5" t="n">
        <v>235.8</v>
      </c>
      <c r="I304" s="5" t="n">
        <v>75.8</v>
      </c>
      <c r="J304" s="5" t="n">
        <v>265.3</v>
      </c>
      <c r="K304" s="5" t="n">
        <v>11</v>
      </c>
    </row>
    <row r="305" customFormat="false" ht="15" hidden="false" customHeight="false" outlineLevel="0" collapsed="false">
      <c r="A305" s="5" t="n">
        <v>205</v>
      </c>
      <c r="B305" s="5" t="n">
        <v>3000</v>
      </c>
      <c r="C305" s="5" t="n">
        <v>1119</v>
      </c>
      <c r="D305" s="5" t="n">
        <v>2992.7</v>
      </c>
      <c r="E305" s="5" t="n">
        <v>2390.5</v>
      </c>
      <c r="F305" s="5" t="n">
        <v>0</v>
      </c>
      <c r="G305" s="5" t="n">
        <v>412.4</v>
      </c>
      <c r="H305" s="5" t="n">
        <v>568.8</v>
      </c>
      <c r="I305" s="5" t="n">
        <v>74.8</v>
      </c>
      <c r="J305" s="5" t="n">
        <v>277</v>
      </c>
      <c r="K305" s="5" t="n">
        <v>11</v>
      </c>
    </row>
    <row r="306" customFormat="false" ht="15" hidden="false" customHeight="false" outlineLevel="0" collapsed="false">
      <c r="A306" s="5" t="n">
        <v>210</v>
      </c>
      <c r="B306" s="5" t="n">
        <v>3000</v>
      </c>
      <c r="C306" s="5" t="n">
        <v>1142</v>
      </c>
      <c r="D306" s="5" t="n">
        <v>3060.6</v>
      </c>
      <c r="E306" s="5" t="n">
        <v>2689</v>
      </c>
      <c r="F306" s="5" t="n">
        <v>0</v>
      </c>
      <c r="G306" s="5" t="n">
        <v>411.6</v>
      </c>
      <c r="H306" s="5" t="n">
        <v>567.9</v>
      </c>
      <c r="I306" s="5" t="n">
        <v>75.9</v>
      </c>
      <c r="J306" s="5" t="n">
        <v>296.9</v>
      </c>
      <c r="K306" s="5" t="n">
        <v>11</v>
      </c>
    </row>
    <row r="307" customFormat="false" ht="15" hidden="false" customHeight="false" outlineLevel="0" collapsed="false">
      <c r="A307" s="5" t="n">
        <v>215</v>
      </c>
      <c r="B307" s="5" t="n">
        <v>3000</v>
      </c>
      <c r="C307" s="5" t="n">
        <v>1125.4</v>
      </c>
      <c r="D307" s="5" t="n">
        <v>2999.5</v>
      </c>
      <c r="E307" s="5" t="n">
        <v>2587.8</v>
      </c>
      <c r="F307" s="5" t="n">
        <v>0</v>
      </c>
      <c r="G307" s="5" t="n">
        <v>405.2</v>
      </c>
      <c r="H307" s="5" t="n">
        <v>555.9</v>
      </c>
      <c r="I307" s="5" t="n">
        <v>75</v>
      </c>
      <c r="J307" s="5" t="n">
        <v>286</v>
      </c>
      <c r="K307" s="5" t="n">
        <v>11</v>
      </c>
    </row>
    <row r="308" customFormat="false" ht="15" hidden="false" customHeight="false" outlineLevel="0" collapsed="false">
      <c r="A308" s="5" t="n">
        <v>220</v>
      </c>
      <c r="B308" s="5" t="n">
        <v>3000</v>
      </c>
      <c r="C308" s="5" t="n">
        <v>1156</v>
      </c>
      <c r="D308" s="5" t="n">
        <v>3038.4</v>
      </c>
      <c r="E308" s="5" t="n">
        <v>2623.7</v>
      </c>
      <c r="F308" s="5" t="n">
        <v>0</v>
      </c>
      <c r="G308" s="5" t="n">
        <v>414.9</v>
      </c>
      <c r="H308" s="5" t="n">
        <v>575.7</v>
      </c>
      <c r="I308" s="5" t="n">
        <v>75.9</v>
      </c>
      <c r="J308" s="5" t="n">
        <v>289.2</v>
      </c>
      <c r="K308" s="5" t="n">
        <v>11</v>
      </c>
    </row>
    <row r="309" customFormat="false" ht="15" hidden="false" customHeight="false" outlineLevel="0" collapsed="false">
      <c r="A309" s="5" t="n">
        <v>225</v>
      </c>
      <c r="B309" s="5" t="n">
        <v>3000</v>
      </c>
      <c r="C309" s="5" t="n">
        <v>1113.6</v>
      </c>
      <c r="D309" s="5" t="n">
        <v>3138.9</v>
      </c>
      <c r="E309" s="5" t="n">
        <v>2715.1</v>
      </c>
      <c r="F309" s="5" t="n">
        <v>0</v>
      </c>
      <c r="G309" s="5" t="n">
        <v>404.7</v>
      </c>
      <c r="H309" s="5" t="n">
        <v>560.2</v>
      </c>
      <c r="I309" s="5" t="n">
        <v>76</v>
      </c>
      <c r="J309" s="5" t="n">
        <v>291.4</v>
      </c>
      <c r="K309" s="5" t="n">
        <v>11</v>
      </c>
    </row>
    <row r="310" customFormat="false" ht="15" hidden="false" customHeight="false" outlineLevel="0" collapsed="false">
      <c r="A310" s="5" t="n">
        <v>230</v>
      </c>
      <c r="B310" s="5" t="n">
        <v>3000</v>
      </c>
      <c r="C310" s="5" t="n">
        <v>1316.6</v>
      </c>
      <c r="D310" s="5" t="n">
        <v>3030.4</v>
      </c>
      <c r="E310" s="5" t="n">
        <v>2458.6</v>
      </c>
      <c r="F310" s="5" t="n">
        <v>0</v>
      </c>
      <c r="G310" s="5" t="n">
        <v>101.8</v>
      </c>
      <c r="H310" s="5" t="n">
        <v>138.2</v>
      </c>
      <c r="I310" s="5" t="n">
        <v>75.8</v>
      </c>
      <c r="J310" s="5" t="n">
        <v>275.3</v>
      </c>
      <c r="K310" s="5" t="n">
        <v>11</v>
      </c>
    </row>
    <row r="311" customFormat="false" ht="15" hidden="false" customHeight="false" outlineLevel="0" collapsed="false">
      <c r="A311" s="5" t="n">
        <v>235</v>
      </c>
      <c r="B311" s="5" t="n">
        <v>3000</v>
      </c>
      <c r="C311" s="5" t="n">
        <v>1254.2</v>
      </c>
      <c r="D311" s="5" t="n">
        <v>2911.9</v>
      </c>
      <c r="E311" s="5" t="n">
        <v>2195.3</v>
      </c>
      <c r="F311" s="5" t="n">
        <v>0</v>
      </c>
      <c r="G311" s="5" t="n">
        <v>421.8</v>
      </c>
      <c r="H311" s="5" t="n">
        <v>580.4</v>
      </c>
      <c r="I311" s="5" t="n">
        <v>75</v>
      </c>
      <c r="J311" s="5" t="n">
        <v>280.5</v>
      </c>
      <c r="K311" s="5" t="n">
        <v>11</v>
      </c>
    </row>
    <row r="312" customFormat="false" ht="15" hidden="false" customHeight="false" outlineLevel="0" collapsed="false">
      <c r="A312" s="5" t="n">
        <v>240</v>
      </c>
      <c r="B312" s="5" t="n">
        <v>3000</v>
      </c>
      <c r="C312" s="5" t="n">
        <v>1126.8</v>
      </c>
      <c r="D312" s="5" t="n">
        <v>3109.1</v>
      </c>
      <c r="E312" s="5" t="n">
        <v>2661.3</v>
      </c>
      <c r="F312" s="5" t="n">
        <v>0</v>
      </c>
      <c r="G312" s="5" t="n">
        <v>399.7</v>
      </c>
      <c r="H312" s="5" t="n">
        <v>550.5</v>
      </c>
      <c r="I312" s="5" t="n">
        <v>76.2</v>
      </c>
      <c r="J312" s="5" t="n">
        <v>327</v>
      </c>
      <c r="K312" s="5" t="n">
        <v>11</v>
      </c>
    </row>
    <row r="313" customFormat="false" ht="15" hidden="false" customHeight="false" outlineLevel="0" collapsed="false">
      <c r="A313" s="5" t="n">
        <v>245</v>
      </c>
      <c r="B313" s="5" t="n">
        <v>3000</v>
      </c>
      <c r="C313" s="5" t="n">
        <v>1113.6</v>
      </c>
      <c r="D313" s="5" t="n">
        <v>3061.8</v>
      </c>
      <c r="E313" s="5" t="n">
        <v>2650.3</v>
      </c>
      <c r="F313" s="5" t="n">
        <v>0</v>
      </c>
      <c r="G313" s="5" t="n">
        <v>407.7</v>
      </c>
      <c r="H313" s="5" t="n">
        <v>565.6</v>
      </c>
      <c r="I313" s="5" t="n">
        <v>76</v>
      </c>
      <c r="J313" s="5" t="n">
        <v>281.1</v>
      </c>
      <c r="K313" s="5" t="n">
        <v>11</v>
      </c>
    </row>
    <row r="314" customFormat="false" ht="15" hidden="false" customHeight="false" outlineLevel="0" collapsed="false">
      <c r="A314" s="5" t="n">
        <v>250</v>
      </c>
      <c r="B314" s="5" t="n">
        <v>3000</v>
      </c>
      <c r="C314" s="5" t="n">
        <v>1160.6</v>
      </c>
      <c r="D314" s="5" t="n">
        <v>3055</v>
      </c>
      <c r="E314" s="5" t="n">
        <v>2637</v>
      </c>
      <c r="F314" s="5" t="n">
        <v>0</v>
      </c>
      <c r="G314" s="5" t="n">
        <v>415.4</v>
      </c>
      <c r="H314" s="5" t="n">
        <v>573</v>
      </c>
      <c r="I314" s="5" t="n">
        <v>76.1</v>
      </c>
      <c r="J314" s="5" t="n">
        <v>274.4</v>
      </c>
      <c r="K314" s="5" t="n">
        <v>11</v>
      </c>
    </row>
    <row r="315" customFormat="false" ht="15" hidden="false" customHeight="false" outlineLevel="0" collapsed="false">
      <c r="A315" s="5" t="n">
        <v>255</v>
      </c>
      <c r="B315" s="5" t="n">
        <v>3000</v>
      </c>
      <c r="C315" s="5" t="n">
        <v>1100.2</v>
      </c>
      <c r="D315" s="5" t="n">
        <v>3068.2</v>
      </c>
      <c r="E315" s="5" t="n">
        <v>2684.2</v>
      </c>
      <c r="F315" s="5" t="n">
        <v>0</v>
      </c>
      <c r="G315" s="5" t="n">
        <v>404.5</v>
      </c>
      <c r="H315" s="5" t="n">
        <v>560.1</v>
      </c>
      <c r="I315" s="5" t="n">
        <v>75.8</v>
      </c>
      <c r="J315" s="5" t="n">
        <v>276.4</v>
      </c>
      <c r="K315" s="5" t="n">
        <v>11</v>
      </c>
    </row>
    <row r="316" customFormat="false" ht="15" hidden="false" customHeight="false" outlineLevel="0" collapsed="false">
      <c r="A316" s="5" t="n">
        <v>260</v>
      </c>
      <c r="B316" s="5" t="n">
        <v>3000</v>
      </c>
      <c r="C316" s="5" t="n">
        <v>1293.4</v>
      </c>
      <c r="D316" s="5" t="n">
        <v>3003.6</v>
      </c>
      <c r="E316" s="5" t="n">
        <v>2504.8</v>
      </c>
      <c r="F316" s="5" t="n">
        <v>0</v>
      </c>
      <c r="G316" s="5" t="n">
        <v>101.5</v>
      </c>
      <c r="H316" s="5" t="n">
        <v>141.9</v>
      </c>
      <c r="I316" s="5" t="n">
        <v>75.8</v>
      </c>
      <c r="J316" s="5" t="n">
        <v>277</v>
      </c>
      <c r="K316" s="5" t="n">
        <v>11</v>
      </c>
    </row>
    <row r="317" customFormat="false" ht="15" hidden="false" customHeight="false" outlineLevel="0" collapsed="false">
      <c r="A317" s="5" t="n">
        <v>265</v>
      </c>
      <c r="B317" s="5" t="n">
        <v>3000</v>
      </c>
      <c r="C317" s="5" t="n">
        <v>1658</v>
      </c>
      <c r="D317" s="5" t="n">
        <v>3075.5</v>
      </c>
      <c r="E317" s="5" t="n">
        <v>1675.6</v>
      </c>
      <c r="F317" s="5" t="n">
        <v>0</v>
      </c>
      <c r="G317" s="5" t="n">
        <v>404</v>
      </c>
      <c r="H317" s="5" t="n">
        <v>551.6</v>
      </c>
      <c r="I317" s="5" t="n">
        <v>75.6</v>
      </c>
      <c r="J317" s="5" t="n">
        <v>354.1</v>
      </c>
      <c r="K317" s="5" t="n">
        <v>11</v>
      </c>
    </row>
    <row r="318" customFormat="false" ht="15" hidden="false" customHeight="false" outlineLevel="0" collapsed="false">
      <c r="A318" s="5" t="n">
        <v>270</v>
      </c>
      <c r="B318" s="5" t="n">
        <v>3000</v>
      </c>
      <c r="C318" s="5" t="n">
        <v>1107.6</v>
      </c>
      <c r="D318" s="5" t="n">
        <v>3070.2</v>
      </c>
      <c r="E318" s="5" t="n">
        <v>2665.5</v>
      </c>
      <c r="F318" s="5" t="n">
        <v>0</v>
      </c>
      <c r="G318" s="5" t="n">
        <v>400.2</v>
      </c>
      <c r="H318" s="5" t="n">
        <v>553.6</v>
      </c>
      <c r="I318" s="5" t="n">
        <v>76.4</v>
      </c>
      <c r="J318" s="5" t="n">
        <v>313.5</v>
      </c>
      <c r="K318" s="5" t="n">
        <v>11</v>
      </c>
    </row>
    <row r="319" customFormat="false" ht="15" hidden="false" customHeight="false" outlineLevel="0" collapsed="false">
      <c r="A319" s="5" t="n">
        <v>275</v>
      </c>
      <c r="B319" s="5" t="n">
        <v>3000</v>
      </c>
      <c r="C319" s="5" t="n">
        <v>1130</v>
      </c>
      <c r="D319" s="5" t="n">
        <v>3101.8</v>
      </c>
      <c r="E319" s="5" t="n">
        <v>2695.6</v>
      </c>
      <c r="F319" s="5" t="n">
        <v>0</v>
      </c>
      <c r="G319" s="5" t="n">
        <v>417.2</v>
      </c>
      <c r="H319" s="5" t="n">
        <v>575.8</v>
      </c>
      <c r="I319" s="5" t="n">
        <v>75.2</v>
      </c>
      <c r="J319" s="5" t="n">
        <v>254.9</v>
      </c>
      <c r="K319" s="5" t="n">
        <v>11</v>
      </c>
    </row>
    <row r="320" customFormat="false" ht="15" hidden="false" customHeight="false" outlineLevel="0" collapsed="false">
      <c r="A320" s="5" t="n">
        <v>280</v>
      </c>
      <c r="B320" s="5" t="n">
        <v>3000</v>
      </c>
      <c r="C320" s="5" t="n">
        <v>1100.6</v>
      </c>
      <c r="D320" s="5" t="n">
        <v>3123.1</v>
      </c>
      <c r="E320" s="5" t="n">
        <v>2729.5</v>
      </c>
      <c r="F320" s="5" t="n">
        <v>0</v>
      </c>
      <c r="G320" s="5" t="n">
        <v>396.9</v>
      </c>
      <c r="H320" s="5" t="n">
        <v>550.6</v>
      </c>
      <c r="I320" s="5" t="n">
        <v>76.1</v>
      </c>
      <c r="J320" s="5" t="n">
        <v>309.5</v>
      </c>
      <c r="K320" s="5" t="n">
        <v>11</v>
      </c>
    </row>
    <row r="321" customFormat="false" ht="15" hidden="false" customHeight="false" outlineLevel="0" collapsed="false">
      <c r="A321" s="5" t="n">
        <v>285</v>
      </c>
      <c r="B321" s="5" t="n">
        <v>3000</v>
      </c>
      <c r="C321" s="5" t="n">
        <v>1105.8</v>
      </c>
      <c r="D321" s="5" t="n">
        <v>3029</v>
      </c>
      <c r="E321" s="5" t="n">
        <v>2613.4</v>
      </c>
      <c r="F321" s="5" t="n">
        <v>0</v>
      </c>
      <c r="G321" s="5" t="n">
        <v>408.3</v>
      </c>
      <c r="H321" s="5" t="n">
        <v>561.4</v>
      </c>
      <c r="I321" s="5" t="n">
        <v>75.9</v>
      </c>
      <c r="J321" s="5" t="n">
        <v>326.2</v>
      </c>
      <c r="K321" s="5" t="n">
        <v>11</v>
      </c>
    </row>
    <row r="322" customFormat="false" ht="15" hidden="false" customHeight="false" outlineLevel="0" collapsed="false">
      <c r="A322" s="5" t="n">
        <v>290</v>
      </c>
      <c r="B322" s="5" t="n">
        <v>3000</v>
      </c>
      <c r="C322" s="5" t="n">
        <v>1874</v>
      </c>
      <c r="D322" s="5" t="n">
        <v>3164.6</v>
      </c>
      <c r="E322" s="5" t="n">
        <v>1853.8</v>
      </c>
      <c r="F322" s="5" t="n">
        <v>0</v>
      </c>
      <c r="G322" s="5" t="n">
        <v>418</v>
      </c>
      <c r="H322" s="5" t="n">
        <v>555</v>
      </c>
      <c r="I322" s="5" t="n">
        <v>74.7</v>
      </c>
      <c r="J322" s="5" t="n">
        <v>279.8</v>
      </c>
      <c r="K322" s="5" t="n">
        <v>11</v>
      </c>
    </row>
    <row r="323" customFormat="false" ht="15" hidden="false" customHeight="false" outlineLevel="0" collapsed="false">
      <c r="A323" s="5" t="n">
        <v>295</v>
      </c>
      <c r="B323" s="5" t="n">
        <v>3000</v>
      </c>
      <c r="C323" s="5" t="n">
        <v>2496.4</v>
      </c>
      <c r="D323" s="5" t="n">
        <v>1729</v>
      </c>
      <c r="E323" s="5" t="n">
        <v>1154.4</v>
      </c>
      <c r="F323" s="5" t="n">
        <v>0</v>
      </c>
      <c r="G323" s="5" t="n">
        <v>188.7</v>
      </c>
      <c r="H323" s="5" t="n">
        <v>247.8</v>
      </c>
      <c r="I323" s="5" t="n">
        <v>75.7</v>
      </c>
      <c r="J323" s="5" t="n">
        <v>328.2</v>
      </c>
      <c r="K323" s="5" t="n">
        <v>11</v>
      </c>
    </row>
    <row r="324" customFormat="false" ht="15" hidden="false" customHeight="false" outlineLevel="0" collapsed="false">
      <c r="A324" s="5" t="n">
        <v>300</v>
      </c>
      <c r="B324" s="5" t="n">
        <v>3000</v>
      </c>
      <c r="C324" s="5" t="n">
        <v>1391</v>
      </c>
      <c r="D324" s="5" t="n">
        <v>2392.2</v>
      </c>
      <c r="E324" s="5" t="n">
        <v>2025.2</v>
      </c>
      <c r="F324" s="5" t="n">
        <v>0</v>
      </c>
      <c r="G324" s="5" t="n">
        <v>417.2</v>
      </c>
      <c r="H324" s="5" t="n">
        <v>575.6</v>
      </c>
      <c r="I324" s="5" t="n">
        <v>75.7</v>
      </c>
      <c r="J324" s="5" t="n">
        <v>273.4</v>
      </c>
      <c r="K324" s="5" t="n">
        <v>11</v>
      </c>
    </row>
    <row r="325" customFormat="false" ht="15" hidden="false" customHeight="false" outlineLevel="0" collapsed="false">
      <c r="A325" s="5" t="n">
        <v>305</v>
      </c>
      <c r="B325" s="5" t="n">
        <v>3000</v>
      </c>
      <c r="C325" s="5" t="n">
        <v>1236.4</v>
      </c>
      <c r="D325" s="5" t="n">
        <v>2879.4</v>
      </c>
      <c r="E325" s="5" t="n">
        <v>2483.3</v>
      </c>
      <c r="F325" s="5" t="n">
        <v>0</v>
      </c>
      <c r="G325" s="5" t="n">
        <v>401.9</v>
      </c>
      <c r="H325" s="5" t="n">
        <v>541.9</v>
      </c>
      <c r="I325" s="5" t="n">
        <v>75.8</v>
      </c>
      <c r="J325" s="5" t="n">
        <v>333</v>
      </c>
      <c r="K325" s="5" t="n">
        <v>11</v>
      </c>
    </row>
    <row r="326" customFormat="false" ht="15" hidden="false" customHeight="false" outlineLevel="0" collapsed="false">
      <c r="A326" s="5" t="n">
        <v>310</v>
      </c>
      <c r="B326" s="5" t="n">
        <v>3000</v>
      </c>
      <c r="C326" s="5" t="n">
        <v>1341.8</v>
      </c>
      <c r="D326" s="5" t="n">
        <v>2556</v>
      </c>
      <c r="E326" s="5" t="n">
        <v>2179.6</v>
      </c>
      <c r="F326" s="5" t="n">
        <v>0</v>
      </c>
      <c r="G326" s="5" t="n">
        <v>405.2</v>
      </c>
      <c r="H326" s="5" t="n">
        <v>551.1</v>
      </c>
      <c r="I326" s="5" t="n">
        <v>75.8</v>
      </c>
      <c r="J326" s="5" t="n">
        <v>252.8</v>
      </c>
      <c r="K326" s="5" t="n">
        <v>11</v>
      </c>
    </row>
    <row r="327" customFormat="false" ht="15" hidden="false" customHeight="false" outlineLevel="0" collapsed="false">
      <c r="A327" s="5" t="n">
        <v>315</v>
      </c>
      <c r="B327" s="5" t="n">
        <v>3000</v>
      </c>
      <c r="C327" s="5" t="n">
        <v>1418.4</v>
      </c>
      <c r="D327" s="5" t="n">
        <v>2609.5</v>
      </c>
      <c r="E327" s="5" t="n">
        <v>2155</v>
      </c>
      <c r="F327" s="5" t="n">
        <v>0</v>
      </c>
      <c r="G327" s="5" t="n">
        <v>416.9</v>
      </c>
      <c r="H327" s="5" t="n">
        <v>571.8</v>
      </c>
      <c r="I327" s="5" t="n">
        <v>76.1</v>
      </c>
      <c r="J327" s="5" t="n">
        <v>220.7</v>
      </c>
      <c r="K327" s="5" t="n">
        <v>11</v>
      </c>
    </row>
    <row r="328" customFormat="false" ht="15" hidden="false" customHeight="false" outlineLevel="0" collapsed="false">
      <c r="A328" s="5" t="n">
        <v>320</v>
      </c>
      <c r="B328" s="5" t="n">
        <v>3000</v>
      </c>
      <c r="C328" s="5" t="n">
        <v>1314.8</v>
      </c>
      <c r="D328" s="5" t="n">
        <v>2668.3</v>
      </c>
      <c r="E328" s="5" t="n">
        <v>2287</v>
      </c>
      <c r="F328" s="5" t="n">
        <v>0</v>
      </c>
      <c r="G328" s="5" t="n">
        <v>409</v>
      </c>
      <c r="H328" s="5" t="n">
        <v>556.7</v>
      </c>
      <c r="I328" s="5" t="n">
        <v>74.8</v>
      </c>
      <c r="J328" s="5" t="n">
        <v>283.5</v>
      </c>
      <c r="K328" s="5" t="n">
        <v>11</v>
      </c>
    </row>
    <row r="329" customFormat="false" ht="15" hidden="false" customHeight="false" outlineLevel="0" collapsed="false">
      <c r="A329" s="5" t="n">
        <v>325</v>
      </c>
      <c r="B329" s="5" t="n">
        <v>3000</v>
      </c>
      <c r="C329" s="5" t="n">
        <v>1691.8</v>
      </c>
      <c r="D329" s="5" t="n">
        <v>2519.2</v>
      </c>
      <c r="E329" s="5" t="n">
        <v>1758.8</v>
      </c>
      <c r="F329" s="5" t="n">
        <v>0</v>
      </c>
      <c r="G329" s="5" t="n">
        <v>141.7</v>
      </c>
      <c r="H329" s="5" t="n">
        <v>195.5</v>
      </c>
      <c r="I329" s="5" t="n">
        <v>75.3</v>
      </c>
      <c r="J329" s="5" t="n">
        <v>383.8</v>
      </c>
      <c r="K329" s="5" t="n">
        <v>11</v>
      </c>
    </row>
    <row r="330" customFormat="false" ht="15" hidden="false" customHeight="false" outlineLevel="0" collapsed="false">
      <c r="A330" s="5" t="n">
        <v>330</v>
      </c>
      <c r="B330" s="5" t="n">
        <v>3000</v>
      </c>
      <c r="C330" s="5" t="n">
        <v>1350.2</v>
      </c>
      <c r="D330" s="5" t="n">
        <v>2625.6</v>
      </c>
      <c r="E330" s="5" t="n">
        <v>2249.6</v>
      </c>
      <c r="F330" s="5" t="n">
        <v>0</v>
      </c>
      <c r="G330" s="5" t="n">
        <v>415.1</v>
      </c>
      <c r="H330" s="5" t="n">
        <v>569</v>
      </c>
      <c r="I330" s="5" t="n">
        <v>75.4</v>
      </c>
      <c r="J330" s="5" t="n">
        <v>301.4</v>
      </c>
      <c r="K330" s="5" t="n">
        <v>11</v>
      </c>
    </row>
    <row r="331" customFormat="false" ht="15" hidden="false" customHeight="false" outlineLevel="0" collapsed="false">
      <c r="A331" s="5" t="n">
        <v>335</v>
      </c>
      <c r="B331" s="5" t="n">
        <v>2999</v>
      </c>
      <c r="C331" s="5" t="n">
        <v>1400.4</v>
      </c>
      <c r="D331" s="5" t="n">
        <v>2480.6</v>
      </c>
      <c r="E331" s="5" t="n">
        <v>2155.1</v>
      </c>
      <c r="F331" s="5" t="n">
        <v>0</v>
      </c>
      <c r="G331" s="5" t="n">
        <v>396.3</v>
      </c>
      <c r="H331" s="5" t="n">
        <v>543.7</v>
      </c>
      <c r="I331" s="5" t="n">
        <v>76</v>
      </c>
      <c r="J331" s="5" t="n">
        <v>290.8</v>
      </c>
      <c r="K331" s="5" t="n">
        <v>11</v>
      </c>
    </row>
    <row r="332" customFormat="false" ht="15" hidden="false" customHeight="false" outlineLevel="0" collapsed="false">
      <c r="A332" s="5" t="n">
        <v>340</v>
      </c>
      <c r="B332" s="5" t="n">
        <v>3000</v>
      </c>
      <c r="C332" s="5" t="n">
        <v>1343</v>
      </c>
      <c r="D332" s="5" t="n">
        <v>2524.9</v>
      </c>
      <c r="E332" s="5" t="n">
        <v>2173</v>
      </c>
      <c r="F332" s="5" t="n">
        <v>0</v>
      </c>
      <c r="G332" s="5" t="n">
        <v>412.1</v>
      </c>
      <c r="H332" s="5" t="n">
        <v>566.8</v>
      </c>
      <c r="I332" s="5" t="n">
        <v>76.2</v>
      </c>
      <c r="J332" s="5" t="n">
        <v>288.5</v>
      </c>
      <c r="K332" s="5" t="n">
        <v>11</v>
      </c>
    </row>
    <row r="333" customFormat="false" ht="15" hidden="false" customHeight="false" outlineLevel="0" collapsed="false">
      <c r="A333" s="5" t="n">
        <v>345</v>
      </c>
      <c r="B333" s="5" t="n">
        <v>3000</v>
      </c>
      <c r="C333" s="5" t="n">
        <v>1324.4</v>
      </c>
      <c r="D333" s="5" t="n">
        <v>2646.3</v>
      </c>
      <c r="E333" s="5" t="n">
        <v>2297.8</v>
      </c>
      <c r="F333" s="5" t="n">
        <v>0</v>
      </c>
      <c r="G333" s="5" t="n">
        <v>402</v>
      </c>
      <c r="H333" s="5" t="n">
        <v>554.2</v>
      </c>
      <c r="I333" s="5" t="n">
        <v>75.7</v>
      </c>
      <c r="J333" s="5" t="n">
        <v>244</v>
      </c>
      <c r="K333" s="5" t="n">
        <v>11</v>
      </c>
    </row>
    <row r="334" customFormat="false" ht="15" hidden="false" customHeight="false" outlineLevel="0" collapsed="false">
      <c r="A334" s="5" t="n">
        <v>350</v>
      </c>
      <c r="B334" s="5" t="n">
        <v>3000</v>
      </c>
      <c r="C334" s="5" t="n">
        <v>1335.6</v>
      </c>
      <c r="D334" s="5" t="n">
        <v>2589.2</v>
      </c>
      <c r="E334" s="5" t="n">
        <v>2222.4</v>
      </c>
      <c r="F334" s="5" t="n">
        <v>0</v>
      </c>
      <c r="G334" s="5" t="n">
        <v>413.2</v>
      </c>
      <c r="H334" s="5" t="n">
        <v>559.3</v>
      </c>
      <c r="I334" s="5" t="n">
        <v>75</v>
      </c>
      <c r="J334" s="5" t="n">
        <v>271.6</v>
      </c>
      <c r="K334" s="5" t="n">
        <v>11</v>
      </c>
    </row>
    <row r="335" customFormat="false" ht="15" hidden="false" customHeight="false" outlineLevel="0" collapsed="false">
      <c r="A335" s="5" t="n">
        <v>355</v>
      </c>
      <c r="B335" s="5" t="n">
        <v>3000</v>
      </c>
      <c r="C335" s="5" t="n">
        <v>1698.4</v>
      </c>
      <c r="D335" s="5" t="n">
        <v>2626.3</v>
      </c>
      <c r="E335" s="5" t="n">
        <v>1793.6</v>
      </c>
      <c r="F335" s="5" t="n">
        <v>0</v>
      </c>
      <c r="G335" s="5" t="n">
        <v>132.9</v>
      </c>
      <c r="H335" s="5" t="n">
        <v>177.2</v>
      </c>
      <c r="I335" s="5" t="n">
        <v>76</v>
      </c>
      <c r="J335" s="5" t="n">
        <v>343.3</v>
      </c>
      <c r="K335" s="5" t="n">
        <v>11</v>
      </c>
    </row>
    <row r="336" customFormat="false" ht="15" hidden="false" customHeight="false" outlineLevel="0" collapsed="false">
      <c r="A336" s="5" t="n">
        <v>360</v>
      </c>
      <c r="B336" s="5" t="n">
        <v>3000</v>
      </c>
      <c r="C336" s="5" t="n">
        <v>1312.4</v>
      </c>
      <c r="D336" s="5" t="n">
        <v>2644.5</v>
      </c>
      <c r="E336" s="5" t="n">
        <v>2242.8</v>
      </c>
      <c r="F336" s="5" t="n">
        <v>0</v>
      </c>
      <c r="G336" s="5" t="n">
        <v>409.5</v>
      </c>
      <c r="H336" s="5" t="n">
        <v>554.3</v>
      </c>
      <c r="I336" s="5" t="n">
        <v>76.1</v>
      </c>
      <c r="J336" s="5" t="n">
        <v>269.6</v>
      </c>
      <c r="K336" s="5" t="n">
        <v>11</v>
      </c>
    </row>
    <row r="337" customFormat="false" ht="15" hidden="false" customHeight="false" outlineLevel="0" collapsed="false">
      <c r="A337" s="5" t="n">
        <v>365</v>
      </c>
      <c r="B337" s="5" t="n">
        <v>3000</v>
      </c>
      <c r="C337" s="5" t="n">
        <v>1329.4</v>
      </c>
      <c r="D337" s="5" t="n">
        <v>2635.8</v>
      </c>
      <c r="E337" s="5" t="n">
        <v>2263.4</v>
      </c>
      <c r="F337" s="5" t="n">
        <v>0</v>
      </c>
      <c r="G337" s="5" t="n">
        <v>410.4</v>
      </c>
      <c r="H337" s="5" t="n">
        <v>558.8</v>
      </c>
      <c r="I337" s="5" t="n">
        <v>75.6</v>
      </c>
      <c r="J337" s="5" t="n">
        <v>317.9</v>
      </c>
      <c r="K337" s="5" t="n">
        <v>11</v>
      </c>
    </row>
    <row r="338" customFormat="false" ht="15" hidden="false" customHeight="false" outlineLevel="0" collapsed="false">
      <c r="A338" s="5" t="n">
        <v>370</v>
      </c>
      <c r="B338" s="5" t="n">
        <v>3000</v>
      </c>
      <c r="C338" s="5" t="n">
        <v>1313.8</v>
      </c>
      <c r="D338" s="5" t="n">
        <v>2673.4</v>
      </c>
      <c r="E338" s="5" t="n">
        <v>2308.6</v>
      </c>
      <c r="F338" s="5" t="n">
        <v>0</v>
      </c>
      <c r="G338" s="5" t="n">
        <v>406.3</v>
      </c>
      <c r="H338" s="5" t="n">
        <v>555.2</v>
      </c>
      <c r="I338" s="5" t="n">
        <v>75.7</v>
      </c>
      <c r="J338" s="5" t="n">
        <v>354.5</v>
      </c>
      <c r="K338" s="5" t="n">
        <v>11</v>
      </c>
    </row>
    <row r="339" customFormat="false" ht="15" hidden="false" customHeight="false" outlineLevel="0" collapsed="false">
      <c r="A339" s="5" t="n">
        <v>375</v>
      </c>
      <c r="B339" s="5" t="n">
        <v>3000</v>
      </c>
      <c r="C339" s="5" t="n">
        <v>1308.2</v>
      </c>
      <c r="D339" s="5" t="n">
        <v>2642</v>
      </c>
      <c r="E339" s="5" t="n">
        <v>2265.8</v>
      </c>
      <c r="F339" s="5" t="n">
        <v>0</v>
      </c>
      <c r="G339" s="5" t="n">
        <v>397.7</v>
      </c>
      <c r="H339" s="5" t="n">
        <v>543.3</v>
      </c>
      <c r="I339" s="5" t="n">
        <v>75.9</v>
      </c>
      <c r="J339" s="5" t="n">
        <v>332.3</v>
      </c>
      <c r="K339" s="5" t="n">
        <v>11</v>
      </c>
    </row>
    <row r="340" customFormat="false" ht="15" hidden="false" customHeight="false" outlineLevel="0" collapsed="false">
      <c r="A340" s="5" t="n">
        <v>380</v>
      </c>
      <c r="B340" s="5" t="n">
        <v>3000</v>
      </c>
      <c r="C340" s="5" t="n">
        <v>1360.4</v>
      </c>
      <c r="D340" s="5" t="n">
        <v>2578.3</v>
      </c>
      <c r="E340" s="5" t="n">
        <v>2232.4</v>
      </c>
      <c r="F340" s="5" t="n">
        <v>0</v>
      </c>
      <c r="G340" s="5" t="n">
        <v>416.8</v>
      </c>
      <c r="H340" s="5" t="n">
        <v>570.1</v>
      </c>
      <c r="I340" s="5" t="n">
        <v>75.5</v>
      </c>
      <c r="J340" s="5" t="n">
        <v>357.4</v>
      </c>
      <c r="K340" s="5" t="n">
        <v>11</v>
      </c>
    </row>
    <row r="341" customFormat="false" ht="15" hidden="false" customHeight="false" outlineLevel="0" collapsed="false">
      <c r="A341" s="5" t="n">
        <v>385</v>
      </c>
      <c r="B341" s="5" t="n">
        <v>3000</v>
      </c>
      <c r="C341" s="5" t="n">
        <v>1714</v>
      </c>
      <c r="D341" s="5" t="n">
        <v>2591.7</v>
      </c>
      <c r="E341" s="5" t="n">
        <v>1951.2</v>
      </c>
      <c r="F341" s="5" t="n">
        <v>0</v>
      </c>
      <c r="G341" s="5" t="n">
        <v>64.7</v>
      </c>
      <c r="H341" s="5" t="n">
        <v>93.8</v>
      </c>
      <c r="I341" s="5" t="n">
        <v>75.6</v>
      </c>
      <c r="J341" s="5" t="n">
        <v>317.3</v>
      </c>
      <c r="K341" s="5" t="n">
        <v>11</v>
      </c>
    </row>
    <row r="342" customFormat="false" ht="15" hidden="false" customHeight="false" outlineLevel="0" collapsed="false">
      <c r="A342" s="5" t="n">
        <v>390</v>
      </c>
      <c r="B342" s="5" t="n">
        <v>3000</v>
      </c>
      <c r="C342" s="5" t="n">
        <v>1462.8</v>
      </c>
      <c r="D342" s="5" t="n">
        <v>2346.7</v>
      </c>
      <c r="E342" s="5" t="n">
        <v>1816.7</v>
      </c>
      <c r="F342" s="5" t="n">
        <v>0</v>
      </c>
      <c r="G342" s="5" t="n">
        <v>407.8</v>
      </c>
      <c r="H342" s="5" t="n">
        <v>560.1</v>
      </c>
      <c r="I342" s="5" t="n">
        <v>75.4</v>
      </c>
      <c r="J342" s="5" t="n">
        <v>334</v>
      </c>
      <c r="K342" s="5" t="n">
        <v>11</v>
      </c>
    </row>
    <row r="343" customFormat="false" ht="15" hidden="false" customHeight="false" outlineLevel="0" collapsed="false">
      <c r="A343" s="5" t="n">
        <v>395</v>
      </c>
      <c r="B343" s="5" t="n">
        <v>3000</v>
      </c>
      <c r="C343" s="5" t="n">
        <v>1470</v>
      </c>
      <c r="D343" s="5" t="n">
        <v>2413.2</v>
      </c>
      <c r="E343" s="5" t="n">
        <v>2074.5</v>
      </c>
      <c r="F343" s="5" t="n">
        <v>0</v>
      </c>
      <c r="G343" s="5" t="n">
        <v>418.1</v>
      </c>
      <c r="H343" s="5" t="n">
        <v>572.7</v>
      </c>
      <c r="I343" s="5" t="n">
        <v>76.4</v>
      </c>
      <c r="J343" s="5" t="n">
        <v>318.6</v>
      </c>
      <c r="K343" s="5" t="n">
        <v>11</v>
      </c>
    </row>
    <row r="344" customFormat="false" ht="15" hidden="false" customHeight="false" outlineLevel="0" collapsed="false">
      <c r="A344" s="5" t="n">
        <v>400</v>
      </c>
      <c r="B344" s="5" t="n">
        <v>3000</v>
      </c>
      <c r="C344" s="5" t="n">
        <v>1407.2</v>
      </c>
      <c r="D344" s="5" t="n">
        <v>2444.6</v>
      </c>
      <c r="E344" s="5" t="n">
        <v>2124.5</v>
      </c>
      <c r="F344" s="5" t="n">
        <v>0</v>
      </c>
      <c r="G344" s="5" t="n">
        <v>396.3</v>
      </c>
      <c r="H344" s="5" t="n">
        <v>543</v>
      </c>
      <c r="I344" s="5" t="n">
        <v>76.4</v>
      </c>
      <c r="J344" s="5" t="n">
        <v>375.3</v>
      </c>
      <c r="K344" s="5" t="n">
        <v>11</v>
      </c>
    </row>
    <row r="345" customFormat="false" ht="15" hidden="false" customHeight="false" outlineLevel="0" collapsed="false">
      <c r="A345" s="5" t="n">
        <v>405</v>
      </c>
      <c r="B345" s="5" t="n">
        <v>3000</v>
      </c>
      <c r="C345" s="5" t="n">
        <v>1437</v>
      </c>
      <c r="D345" s="5" t="n">
        <v>2381.9</v>
      </c>
      <c r="E345" s="5" t="n">
        <v>2036.2</v>
      </c>
      <c r="F345" s="5" t="n">
        <v>0</v>
      </c>
      <c r="G345" s="5" t="n">
        <v>415.8</v>
      </c>
      <c r="H345" s="5" t="n">
        <v>572</v>
      </c>
      <c r="I345" s="5" t="n">
        <v>76</v>
      </c>
      <c r="J345" s="5" t="n">
        <v>311.4</v>
      </c>
      <c r="K345" s="5" t="n">
        <v>11</v>
      </c>
    </row>
    <row r="346" customFormat="false" ht="15" hidden="false" customHeight="false" outlineLevel="0" collapsed="false">
      <c r="A346" s="5" t="n">
        <v>410</v>
      </c>
      <c r="B346" s="5" t="n">
        <v>3000</v>
      </c>
      <c r="C346" s="5" t="n">
        <v>1358.2</v>
      </c>
      <c r="D346" s="5" t="n">
        <v>2554.4</v>
      </c>
      <c r="E346" s="5" t="n">
        <v>2229.3</v>
      </c>
      <c r="F346" s="5" t="n">
        <v>0</v>
      </c>
      <c r="G346" s="5" t="n">
        <v>410.4</v>
      </c>
      <c r="H346" s="5" t="n">
        <v>561.1</v>
      </c>
      <c r="I346" s="5" t="n">
        <v>76.1</v>
      </c>
      <c r="J346" s="5" t="n">
        <v>282.2</v>
      </c>
      <c r="K346" s="5" t="n">
        <v>11</v>
      </c>
    </row>
    <row r="347" customFormat="false" ht="15" hidden="false" customHeight="false" outlineLevel="0" collapsed="false">
      <c r="A347" s="5" t="n">
        <v>415</v>
      </c>
      <c r="B347" s="5" t="n">
        <v>3000</v>
      </c>
      <c r="C347" s="5" t="n">
        <v>1426.2</v>
      </c>
      <c r="D347" s="5" t="n">
        <v>2633.8</v>
      </c>
      <c r="E347" s="5" t="n">
        <v>2126.7</v>
      </c>
      <c r="F347" s="5" t="n">
        <v>0</v>
      </c>
      <c r="G347" s="5" t="n">
        <v>405.9</v>
      </c>
      <c r="H347" s="5" t="n">
        <v>552.9</v>
      </c>
      <c r="I347" s="5" t="n">
        <v>74.9</v>
      </c>
      <c r="J347" s="5" t="n">
        <v>297.1</v>
      </c>
      <c r="K347" s="5" t="n">
        <v>11</v>
      </c>
    </row>
    <row r="348" customFormat="false" ht="15" hidden="false" customHeight="false" outlineLevel="0" collapsed="false">
      <c r="A348" s="5" t="n">
        <v>420</v>
      </c>
      <c r="B348" s="5" t="n">
        <v>3000</v>
      </c>
      <c r="C348" s="5" t="n">
        <v>1808</v>
      </c>
      <c r="D348" s="5" t="n">
        <v>2491.8</v>
      </c>
      <c r="E348" s="5" t="n">
        <v>1649.3</v>
      </c>
      <c r="F348" s="5" t="n">
        <v>0</v>
      </c>
      <c r="G348" s="5" t="n">
        <v>141</v>
      </c>
      <c r="H348" s="5" t="n">
        <v>191.3</v>
      </c>
      <c r="I348" s="5" t="n">
        <v>76.7</v>
      </c>
      <c r="J348" s="5" t="n">
        <v>316.7</v>
      </c>
      <c r="K348" s="5" t="n">
        <v>11</v>
      </c>
    </row>
    <row r="349" customFormat="false" ht="15" hidden="false" customHeight="false" outlineLevel="0" collapsed="false">
      <c r="A349" s="5" t="n">
        <v>425</v>
      </c>
      <c r="B349" s="5" t="n">
        <v>3000</v>
      </c>
      <c r="C349" s="5" t="n">
        <v>1438.8</v>
      </c>
      <c r="D349" s="5" t="n">
        <v>2420.5</v>
      </c>
      <c r="E349" s="5" t="n">
        <v>2124.8</v>
      </c>
      <c r="F349" s="5" t="n">
        <v>0</v>
      </c>
      <c r="G349" s="5" t="n">
        <v>409.1</v>
      </c>
      <c r="H349" s="5" t="n">
        <v>556.9</v>
      </c>
      <c r="I349" s="5" t="n">
        <v>75.3</v>
      </c>
      <c r="J349" s="5" t="n">
        <v>329.3</v>
      </c>
      <c r="K349" s="5" t="n">
        <v>11</v>
      </c>
    </row>
    <row r="350" customFormat="false" ht="15" hidden="false" customHeight="false" outlineLevel="0" collapsed="false">
      <c r="A350" s="5" t="n">
        <v>430</v>
      </c>
      <c r="B350" s="5" t="n">
        <v>3000</v>
      </c>
      <c r="C350" s="5" t="n">
        <v>1110.8</v>
      </c>
      <c r="D350" s="5" t="n">
        <v>2312.6</v>
      </c>
      <c r="E350" s="5" t="n">
        <v>1947.2</v>
      </c>
      <c r="F350" s="5" t="n">
        <v>0</v>
      </c>
      <c r="G350" s="5" t="n">
        <v>398.3</v>
      </c>
      <c r="H350" s="5" t="n">
        <v>539.6</v>
      </c>
      <c r="I350" s="5" t="n">
        <v>71.7</v>
      </c>
      <c r="J350" s="5" t="n">
        <v>292.6</v>
      </c>
      <c r="K350" s="5" t="n">
        <v>11</v>
      </c>
    </row>
    <row r="353" customFormat="false" ht="15" hidden="false" customHeight="false" outlineLevel="0" collapsed="false">
      <c r="A353" s="3" t="s">
        <v>37</v>
      </c>
    </row>
    <row r="354" customFormat="false" ht="30" hidden="false" customHeight="true" outlineLevel="0" collapsed="false">
      <c r="A354" s="4" t="s">
        <v>831</v>
      </c>
      <c r="B354" s="4" t="s">
        <v>832</v>
      </c>
      <c r="C354" s="4" t="s">
        <v>833</v>
      </c>
      <c r="D354" s="4" t="s">
        <v>29</v>
      </c>
      <c r="E354" s="4" t="s">
        <v>655</v>
      </c>
      <c r="F354" s="4" t="s">
        <v>534</v>
      </c>
      <c r="G354" s="4" t="s">
        <v>821</v>
      </c>
      <c r="H354" s="4" t="s">
        <v>834</v>
      </c>
      <c r="I354" s="4" t="s">
        <v>835</v>
      </c>
      <c r="J354" s="4" t="s">
        <v>836</v>
      </c>
      <c r="K354" s="4" t="s">
        <v>837</v>
      </c>
    </row>
    <row r="355" customFormat="false" ht="15" hidden="false" customHeight="false" outlineLevel="0" collapsed="false">
      <c r="A355" s="5" t="n">
        <v>0</v>
      </c>
      <c r="B355" s="5" t="n">
        <v>10</v>
      </c>
      <c r="C355" s="5" t="n">
        <v>25.4</v>
      </c>
      <c r="D355" s="5" t="n">
        <v>16.9</v>
      </c>
      <c r="E355" s="5" t="n">
        <v>8.4</v>
      </c>
      <c r="F355" s="5" t="n">
        <v>0</v>
      </c>
      <c r="G355" s="5" t="n">
        <v>10.3</v>
      </c>
      <c r="H355" s="5" t="n">
        <v>10.4</v>
      </c>
      <c r="I355" s="5" t="n">
        <v>3.4</v>
      </c>
      <c r="J355" s="5" t="n">
        <v>227.4</v>
      </c>
      <c r="K355" s="5" t="n">
        <v>11</v>
      </c>
    </row>
    <row r="356" customFormat="false" ht="15" hidden="false" customHeight="false" outlineLevel="0" collapsed="false">
      <c r="A356" s="5" t="n">
        <v>5</v>
      </c>
      <c r="B356" s="5" t="n">
        <v>10</v>
      </c>
      <c r="C356" s="5" t="n">
        <v>22.8</v>
      </c>
      <c r="D356" s="5" t="n">
        <v>17.6</v>
      </c>
      <c r="E356" s="5" t="n">
        <v>8.3</v>
      </c>
      <c r="F356" s="5" t="n">
        <v>0</v>
      </c>
      <c r="G356" s="5" t="n">
        <v>4.4</v>
      </c>
      <c r="H356" s="5" t="n">
        <v>5.8</v>
      </c>
      <c r="I356" s="5" t="n">
        <v>1.9</v>
      </c>
      <c r="J356" s="5" t="n">
        <v>253.1</v>
      </c>
      <c r="K356" s="5" t="n">
        <v>11</v>
      </c>
    </row>
    <row r="357" customFormat="false" ht="15" hidden="false" customHeight="false" outlineLevel="0" collapsed="false">
      <c r="A357" s="5" t="n">
        <v>10</v>
      </c>
      <c r="B357" s="5" t="n">
        <v>10</v>
      </c>
      <c r="C357" s="5" t="n">
        <v>21.8</v>
      </c>
      <c r="D357" s="5" t="n">
        <v>17.7</v>
      </c>
      <c r="E357" s="5" t="n">
        <v>8.4</v>
      </c>
      <c r="F357" s="5" t="n">
        <v>0</v>
      </c>
      <c r="G357" s="5" t="n">
        <v>7.3</v>
      </c>
      <c r="H357" s="5" t="n">
        <v>9</v>
      </c>
      <c r="I357" s="5" t="n">
        <v>1.5</v>
      </c>
      <c r="J357" s="5" t="n">
        <v>277</v>
      </c>
      <c r="K357" s="5" t="n">
        <v>11</v>
      </c>
    </row>
    <row r="358" customFormat="false" ht="15" hidden="false" customHeight="false" outlineLevel="0" collapsed="false">
      <c r="A358" s="5" t="n">
        <v>15</v>
      </c>
      <c r="B358" s="5" t="n">
        <v>10</v>
      </c>
      <c r="C358" s="5" t="n">
        <v>19.2</v>
      </c>
      <c r="D358" s="5" t="n">
        <v>16.3</v>
      </c>
      <c r="E358" s="5" t="n">
        <v>8</v>
      </c>
      <c r="F358" s="5" t="n">
        <v>0</v>
      </c>
      <c r="G358" s="5" t="n">
        <v>7.3</v>
      </c>
      <c r="H358" s="5" t="n">
        <v>8.8</v>
      </c>
      <c r="I358" s="5" t="n">
        <v>1.5</v>
      </c>
      <c r="J358" s="5" t="n">
        <v>300.8</v>
      </c>
      <c r="K358" s="5" t="n">
        <v>11</v>
      </c>
    </row>
    <row r="359" customFormat="false" ht="15" hidden="false" customHeight="false" outlineLevel="0" collapsed="false">
      <c r="A359" s="5" t="n">
        <v>20</v>
      </c>
      <c r="B359" s="5" t="n">
        <v>10</v>
      </c>
      <c r="C359" s="5" t="n">
        <v>17.8</v>
      </c>
      <c r="D359" s="5" t="n">
        <v>16.8</v>
      </c>
      <c r="E359" s="5" t="n">
        <v>7.7</v>
      </c>
      <c r="F359" s="5" t="n">
        <v>0</v>
      </c>
      <c r="G359" s="5" t="n">
        <v>6.7</v>
      </c>
      <c r="H359" s="5" t="n">
        <v>8.2</v>
      </c>
      <c r="I359" s="5" t="n">
        <v>1.4</v>
      </c>
      <c r="J359" s="5" t="n">
        <v>325.2</v>
      </c>
      <c r="K359" s="5" t="n">
        <v>11</v>
      </c>
    </row>
    <row r="360" customFormat="false" ht="15" hidden="false" customHeight="false" outlineLevel="0" collapsed="false">
      <c r="A360" s="5" t="n">
        <v>25</v>
      </c>
      <c r="B360" s="5" t="n">
        <v>10</v>
      </c>
      <c r="C360" s="5" t="n">
        <v>17.2</v>
      </c>
      <c r="D360" s="5" t="n">
        <v>16.9</v>
      </c>
      <c r="E360" s="5" t="n">
        <v>8.5</v>
      </c>
      <c r="F360" s="5" t="n">
        <v>0</v>
      </c>
      <c r="G360" s="5" t="n">
        <v>6.5</v>
      </c>
      <c r="H360" s="5" t="n">
        <v>7.6</v>
      </c>
      <c r="I360" s="5" t="n">
        <v>1.3</v>
      </c>
      <c r="J360" s="5" t="n">
        <v>100.6</v>
      </c>
      <c r="K360" s="5" t="n">
        <v>11</v>
      </c>
    </row>
    <row r="361" customFormat="false" ht="15" hidden="false" customHeight="false" outlineLevel="0" collapsed="false">
      <c r="A361" s="5" t="n">
        <v>30</v>
      </c>
      <c r="B361" s="5" t="n">
        <v>10</v>
      </c>
      <c r="C361" s="5" t="n">
        <v>17</v>
      </c>
      <c r="D361" s="5" t="n">
        <v>16.5</v>
      </c>
      <c r="E361" s="5" t="n">
        <v>8.5</v>
      </c>
      <c r="F361" s="5" t="n">
        <v>0</v>
      </c>
      <c r="G361" s="5" t="n">
        <v>7.1</v>
      </c>
      <c r="H361" s="5" t="n">
        <v>8.4</v>
      </c>
      <c r="I361" s="5" t="n">
        <v>1.5</v>
      </c>
      <c r="J361" s="5" t="n">
        <v>61.1</v>
      </c>
      <c r="K361" s="5" t="n">
        <v>11</v>
      </c>
    </row>
    <row r="362" customFormat="false" ht="15" hidden="false" customHeight="false" outlineLevel="0" collapsed="false">
      <c r="A362" s="5" t="n">
        <v>35</v>
      </c>
      <c r="B362" s="5" t="n">
        <v>10</v>
      </c>
      <c r="C362" s="5" t="n">
        <v>23.4</v>
      </c>
      <c r="D362" s="5" t="n">
        <v>17.9</v>
      </c>
      <c r="E362" s="5" t="n">
        <v>8.3</v>
      </c>
      <c r="F362" s="5" t="n">
        <v>0</v>
      </c>
      <c r="G362" s="5" t="n">
        <v>4.5</v>
      </c>
      <c r="H362" s="5" t="n">
        <v>5.8</v>
      </c>
      <c r="I362" s="5" t="n">
        <v>1.7</v>
      </c>
      <c r="J362" s="5" t="n">
        <v>85.8</v>
      </c>
      <c r="K362" s="5" t="n">
        <v>11</v>
      </c>
    </row>
    <row r="363" customFormat="false" ht="15" hidden="false" customHeight="false" outlineLevel="0" collapsed="false">
      <c r="A363" s="5" t="n">
        <v>40</v>
      </c>
      <c r="B363" s="5" t="n">
        <v>10</v>
      </c>
      <c r="C363" s="5" t="n">
        <v>22</v>
      </c>
      <c r="D363" s="5" t="n">
        <v>16.9</v>
      </c>
      <c r="E363" s="5" t="n">
        <v>8.3</v>
      </c>
      <c r="F363" s="5" t="n">
        <v>0</v>
      </c>
      <c r="G363" s="5" t="n">
        <v>6.7</v>
      </c>
      <c r="H363" s="5" t="n">
        <v>8.3</v>
      </c>
      <c r="I363" s="5" t="n">
        <v>1.2</v>
      </c>
      <c r="J363" s="5" t="n">
        <v>110.9</v>
      </c>
      <c r="K363" s="5" t="n">
        <v>11</v>
      </c>
    </row>
    <row r="364" customFormat="false" ht="15" hidden="false" customHeight="false" outlineLevel="0" collapsed="false">
      <c r="A364" s="5" t="n">
        <v>45</v>
      </c>
      <c r="B364" s="5" t="n">
        <v>10</v>
      </c>
      <c r="C364" s="5" t="n">
        <v>21</v>
      </c>
      <c r="D364" s="5" t="n">
        <v>16.9</v>
      </c>
      <c r="E364" s="5" t="n">
        <v>8.7</v>
      </c>
      <c r="F364" s="5" t="n">
        <v>0</v>
      </c>
      <c r="G364" s="5" t="n">
        <v>8.3</v>
      </c>
      <c r="H364" s="5" t="n">
        <v>10.4</v>
      </c>
      <c r="I364" s="5" t="n">
        <v>1.6</v>
      </c>
      <c r="J364" s="5" t="n">
        <v>135.5</v>
      </c>
      <c r="K364" s="5" t="n">
        <v>11</v>
      </c>
    </row>
    <row r="365" customFormat="false" ht="15" hidden="false" customHeight="false" outlineLevel="0" collapsed="false">
      <c r="A365" s="5" t="n">
        <v>50</v>
      </c>
      <c r="B365" s="5" t="n">
        <v>10</v>
      </c>
      <c r="C365" s="5" t="n">
        <v>17.2</v>
      </c>
      <c r="D365" s="5" t="n">
        <v>17.1</v>
      </c>
      <c r="E365" s="5" t="n">
        <v>9.3</v>
      </c>
      <c r="F365" s="5" t="n">
        <v>0</v>
      </c>
      <c r="G365" s="5" t="n">
        <v>7.5</v>
      </c>
      <c r="H365" s="5" t="n">
        <v>9</v>
      </c>
      <c r="I365" s="5" t="n">
        <v>1.4</v>
      </c>
      <c r="J365" s="5" t="n">
        <v>159.1</v>
      </c>
      <c r="K365" s="5" t="n">
        <v>11</v>
      </c>
    </row>
    <row r="366" customFormat="false" ht="15" hidden="false" customHeight="false" outlineLevel="0" collapsed="false">
      <c r="A366" s="5" t="n">
        <v>55</v>
      </c>
      <c r="B366" s="5" t="n">
        <v>113</v>
      </c>
      <c r="C366" s="5" t="n">
        <v>190</v>
      </c>
      <c r="D366" s="5" t="n">
        <v>16.2</v>
      </c>
      <c r="E366" s="5" t="n">
        <v>5.7</v>
      </c>
      <c r="F366" s="5" t="n">
        <v>0</v>
      </c>
      <c r="G366" s="5" t="n">
        <v>35.2</v>
      </c>
      <c r="H366" s="5" t="n">
        <v>42.5</v>
      </c>
      <c r="I366" s="5" t="n">
        <v>7.5</v>
      </c>
      <c r="J366" s="5" t="n">
        <v>204.5</v>
      </c>
      <c r="K366" s="5" t="n">
        <v>11</v>
      </c>
    </row>
    <row r="367" customFormat="false" ht="15" hidden="false" customHeight="false" outlineLevel="0" collapsed="false">
      <c r="A367" s="5" t="n">
        <v>60</v>
      </c>
      <c r="B367" s="5" t="n">
        <v>308</v>
      </c>
      <c r="C367" s="5" t="n">
        <v>577.6</v>
      </c>
      <c r="D367" s="5" t="n">
        <v>15.6</v>
      </c>
      <c r="E367" s="5" t="n">
        <v>6.4</v>
      </c>
      <c r="F367" s="5" t="n">
        <v>0</v>
      </c>
      <c r="G367" s="5" t="n">
        <v>140.6</v>
      </c>
      <c r="H367" s="5" t="n">
        <v>176.4</v>
      </c>
      <c r="I367" s="5" t="n">
        <v>26.9</v>
      </c>
      <c r="J367" s="5" t="n">
        <v>209</v>
      </c>
      <c r="K367" s="5" t="n">
        <v>11</v>
      </c>
    </row>
    <row r="368" customFormat="false" ht="15" hidden="false" customHeight="false" outlineLevel="0" collapsed="false">
      <c r="A368" s="5" t="n">
        <v>65</v>
      </c>
      <c r="B368" s="5" t="n">
        <v>400</v>
      </c>
      <c r="C368" s="5" t="n">
        <v>776</v>
      </c>
      <c r="D368" s="5" t="n">
        <v>15.8</v>
      </c>
      <c r="E368" s="5" t="n">
        <v>7.2</v>
      </c>
      <c r="F368" s="5" t="n">
        <v>0</v>
      </c>
      <c r="G368" s="5" t="n">
        <v>220.5</v>
      </c>
      <c r="H368" s="5" t="n">
        <v>274.7</v>
      </c>
      <c r="I368" s="5" t="n">
        <v>39.1</v>
      </c>
      <c r="J368" s="5" t="n">
        <v>183</v>
      </c>
      <c r="K368" s="5" t="n">
        <v>11</v>
      </c>
    </row>
    <row r="369" customFormat="false" ht="15" hidden="false" customHeight="false" outlineLevel="0" collapsed="false">
      <c r="A369" s="5" t="n">
        <v>70</v>
      </c>
      <c r="B369" s="5" t="n">
        <v>400</v>
      </c>
      <c r="C369" s="5" t="n">
        <v>959.6</v>
      </c>
      <c r="D369" s="5" t="n">
        <v>15.4</v>
      </c>
      <c r="E369" s="5" t="n">
        <v>7.1</v>
      </c>
      <c r="F369" s="5" t="n">
        <v>0</v>
      </c>
      <c r="G369" s="5" t="n">
        <v>112.4</v>
      </c>
      <c r="H369" s="5" t="n">
        <v>142.3</v>
      </c>
      <c r="I369" s="5" t="n">
        <v>36.2</v>
      </c>
      <c r="J369" s="5" t="n">
        <v>176.2</v>
      </c>
      <c r="K369" s="5" t="n">
        <v>11</v>
      </c>
    </row>
    <row r="370" customFormat="false" ht="15" hidden="false" customHeight="false" outlineLevel="0" collapsed="false">
      <c r="A370" s="5" t="n">
        <v>75</v>
      </c>
      <c r="B370" s="5" t="n">
        <v>400</v>
      </c>
      <c r="C370" s="5" t="n">
        <v>745.6</v>
      </c>
      <c r="D370" s="5" t="n">
        <v>14.7</v>
      </c>
      <c r="E370" s="5" t="n">
        <v>6.7</v>
      </c>
      <c r="F370" s="5" t="n">
        <v>0</v>
      </c>
      <c r="G370" s="5" t="n">
        <v>202.2</v>
      </c>
      <c r="H370" s="5" t="n">
        <v>245.9</v>
      </c>
      <c r="I370" s="5" t="n">
        <v>34.3</v>
      </c>
      <c r="J370" s="5" t="n">
        <v>172.5</v>
      </c>
      <c r="K370" s="5" t="n">
        <v>11</v>
      </c>
    </row>
    <row r="371" customFormat="false" ht="15" hidden="false" customHeight="false" outlineLevel="0" collapsed="false">
      <c r="A371" s="5" t="n">
        <v>80</v>
      </c>
      <c r="B371" s="5" t="n">
        <v>400</v>
      </c>
      <c r="C371" s="5" t="n">
        <v>730.8</v>
      </c>
      <c r="D371" s="5" t="n">
        <v>14.8</v>
      </c>
      <c r="E371" s="5" t="n">
        <v>6.6</v>
      </c>
      <c r="F371" s="5" t="n">
        <v>0</v>
      </c>
      <c r="G371" s="5" t="n">
        <v>206.5</v>
      </c>
      <c r="H371" s="5" t="n">
        <v>259.4</v>
      </c>
      <c r="I371" s="5" t="n">
        <v>36.1</v>
      </c>
      <c r="J371" s="5" t="n">
        <v>185.8</v>
      </c>
      <c r="K371" s="5" t="n">
        <v>11</v>
      </c>
    </row>
    <row r="372" customFormat="false" ht="15" hidden="false" customHeight="false" outlineLevel="0" collapsed="false">
      <c r="A372" s="5" t="n">
        <v>85</v>
      </c>
      <c r="B372" s="5" t="n">
        <v>400</v>
      </c>
      <c r="C372" s="5" t="n">
        <v>746.2</v>
      </c>
      <c r="D372" s="5" t="n">
        <v>15</v>
      </c>
      <c r="E372" s="5" t="n">
        <v>6.9</v>
      </c>
      <c r="F372" s="5" t="n">
        <v>0</v>
      </c>
      <c r="G372" s="5" t="n">
        <v>212.5</v>
      </c>
      <c r="H372" s="5" t="n">
        <v>267.3</v>
      </c>
      <c r="I372" s="5" t="n">
        <v>36.9</v>
      </c>
      <c r="J372" s="5" t="n">
        <v>191.8</v>
      </c>
      <c r="K372" s="5" t="n">
        <v>11</v>
      </c>
    </row>
    <row r="373" customFormat="false" ht="15" hidden="false" customHeight="false" outlineLevel="0" collapsed="false">
      <c r="A373" s="5" t="n">
        <v>90</v>
      </c>
      <c r="B373" s="5" t="n">
        <v>400</v>
      </c>
      <c r="C373" s="5" t="n">
        <v>742.6</v>
      </c>
      <c r="D373" s="5" t="n">
        <v>14.3</v>
      </c>
      <c r="E373" s="5" t="n">
        <v>6.2</v>
      </c>
      <c r="F373" s="5" t="n">
        <v>0</v>
      </c>
      <c r="G373" s="5" t="n">
        <v>193</v>
      </c>
      <c r="H373" s="5" t="n">
        <v>236.3</v>
      </c>
      <c r="I373" s="5" t="n">
        <v>32.7</v>
      </c>
      <c r="J373" s="5" t="n">
        <v>133.4</v>
      </c>
      <c r="K373" s="5" t="n">
        <v>11</v>
      </c>
    </row>
    <row r="374" customFormat="false" ht="15" hidden="false" customHeight="false" outlineLevel="0" collapsed="false">
      <c r="A374" s="5" t="n">
        <v>95</v>
      </c>
      <c r="B374" s="5" t="n">
        <v>400</v>
      </c>
      <c r="C374" s="5" t="n">
        <v>720</v>
      </c>
      <c r="D374" s="5" t="n">
        <v>16.7</v>
      </c>
      <c r="E374" s="5" t="n">
        <v>7.9</v>
      </c>
      <c r="F374" s="5" t="n">
        <v>0</v>
      </c>
      <c r="G374" s="5" t="n">
        <v>220.3</v>
      </c>
      <c r="H374" s="5" t="n">
        <v>277.4</v>
      </c>
      <c r="I374" s="5" t="n">
        <v>37.9</v>
      </c>
      <c r="J374" s="5" t="n">
        <v>234.7</v>
      </c>
      <c r="K374" s="5" t="n">
        <v>11</v>
      </c>
    </row>
    <row r="375" customFormat="false" ht="15" hidden="false" customHeight="false" outlineLevel="0" collapsed="false">
      <c r="A375" s="5" t="n">
        <v>100</v>
      </c>
      <c r="B375" s="5" t="n">
        <v>400</v>
      </c>
      <c r="C375" s="5" t="n">
        <v>970.2</v>
      </c>
      <c r="D375" s="5" t="n">
        <v>14.2</v>
      </c>
      <c r="E375" s="5" t="n">
        <v>6.7</v>
      </c>
      <c r="F375" s="5" t="n">
        <v>0</v>
      </c>
      <c r="G375" s="5" t="n">
        <v>120.8</v>
      </c>
      <c r="H375" s="5" t="n">
        <v>151.9</v>
      </c>
      <c r="I375" s="5" t="n">
        <v>34.4</v>
      </c>
      <c r="J375" s="5" t="n">
        <v>166.4</v>
      </c>
      <c r="K375" s="5" t="n">
        <v>11</v>
      </c>
    </row>
    <row r="376" customFormat="false" ht="15" hidden="false" customHeight="false" outlineLevel="0" collapsed="false">
      <c r="A376" s="5" t="n">
        <v>105</v>
      </c>
      <c r="B376" s="5" t="n">
        <v>400</v>
      </c>
      <c r="C376" s="5" t="n">
        <v>747.2</v>
      </c>
      <c r="D376" s="5" t="n">
        <v>15</v>
      </c>
      <c r="E376" s="5" t="n">
        <v>6.9</v>
      </c>
      <c r="F376" s="5" t="n">
        <v>0</v>
      </c>
      <c r="G376" s="5" t="n">
        <v>214.1</v>
      </c>
      <c r="H376" s="5" t="n">
        <v>269.6</v>
      </c>
      <c r="I376" s="5" t="n">
        <v>37</v>
      </c>
      <c r="J376" s="5" t="n">
        <v>234.4</v>
      </c>
      <c r="K376" s="5" t="n">
        <v>11</v>
      </c>
    </row>
    <row r="377" customFormat="false" ht="15" hidden="false" customHeight="false" outlineLevel="0" collapsed="false">
      <c r="A377" s="5" t="n">
        <v>110</v>
      </c>
      <c r="B377" s="5" t="n">
        <v>400</v>
      </c>
      <c r="C377" s="5" t="n">
        <v>739.8</v>
      </c>
      <c r="D377" s="5" t="n">
        <v>15.1</v>
      </c>
      <c r="E377" s="5" t="n">
        <v>7.2</v>
      </c>
      <c r="F377" s="5" t="n">
        <v>0</v>
      </c>
      <c r="G377" s="5" t="n">
        <v>207</v>
      </c>
      <c r="H377" s="5" t="n">
        <v>259.9</v>
      </c>
      <c r="I377" s="5" t="n">
        <v>35.9</v>
      </c>
      <c r="J377" s="5" t="n">
        <v>190.6</v>
      </c>
      <c r="K377" s="5" t="n">
        <v>11</v>
      </c>
    </row>
    <row r="378" customFormat="false" ht="15" hidden="false" customHeight="false" outlineLevel="0" collapsed="false">
      <c r="A378" s="5" t="n">
        <v>115</v>
      </c>
      <c r="B378" s="5" t="n">
        <v>400</v>
      </c>
      <c r="C378" s="5" t="n">
        <v>734.4</v>
      </c>
      <c r="D378" s="5" t="n">
        <v>15.5</v>
      </c>
      <c r="E378" s="5" t="n">
        <v>7.1</v>
      </c>
      <c r="F378" s="5" t="n">
        <v>0</v>
      </c>
      <c r="G378" s="5" t="n">
        <v>216.6</v>
      </c>
      <c r="H378" s="5" t="n">
        <v>275.3</v>
      </c>
      <c r="I378" s="5" t="n">
        <v>37.7</v>
      </c>
      <c r="J378" s="5" t="n">
        <v>188.4</v>
      </c>
      <c r="K378" s="5" t="n">
        <v>11</v>
      </c>
    </row>
    <row r="379" customFormat="false" ht="15" hidden="false" customHeight="false" outlineLevel="0" collapsed="false">
      <c r="A379" s="5" t="n">
        <v>120</v>
      </c>
      <c r="B379" s="5" t="n">
        <v>400</v>
      </c>
      <c r="C379" s="5" t="n">
        <v>729.2</v>
      </c>
      <c r="D379" s="5" t="n">
        <v>14.7</v>
      </c>
      <c r="E379" s="5" t="n">
        <v>6.3</v>
      </c>
      <c r="F379" s="5" t="n">
        <v>0</v>
      </c>
      <c r="G379" s="5" t="n">
        <v>184.1</v>
      </c>
      <c r="H379" s="5" t="n">
        <v>230.4</v>
      </c>
      <c r="I379" s="5" t="n">
        <v>31.6</v>
      </c>
      <c r="J379" s="5" t="n">
        <v>194.1</v>
      </c>
      <c r="K379" s="5" t="n">
        <v>11</v>
      </c>
    </row>
    <row r="380" customFormat="false" ht="15" hidden="false" customHeight="false" outlineLevel="0" collapsed="false">
      <c r="A380" s="5" t="n">
        <v>125</v>
      </c>
      <c r="B380" s="5" t="n">
        <v>362</v>
      </c>
      <c r="C380" s="5" t="n">
        <v>449.2</v>
      </c>
      <c r="D380" s="5" t="n">
        <v>16.2</v>
      </c>
      <c r="E380" s="5" t="n">
        <v>7.6</v>
      </c>
      <c r="F380" s="5" t="n">
        <v>0</v>
      </c>
      <c r="G380" s="5" t="n">
        <v>148.9</v>
      </c>
      <c r="H380" s="5" t="n">
        <v>187.6</v>
      </c>
      <c r="I380" s="5" t="n">
        <v>25.9</v>
      </c>
      <c r="J380" s="5" t="n">
        <v>219.2</v>
      </c>
      <c r="K380" s="5" t="n">
        <v>11</v>
      </c>
    </row>
    <row r="381" customFormat="false" ht="15" hidden="false" customHeight="false" outlineLevel="0" collapsed="false">
      <c r="A381" s="5" t="n">
        <v>130</v>
      </c>
      <c r="B381" s="5" t="n">
        <v>165</v>
      </c>
      <c r="C381" s="5" t="n">
        <v>113.6</v>
      </c>
      <c r="D381" s="5" t="n">
        <v>15.9</v>
      </c>
      <c r="E381" s="5" t="n">
        <v>7.6</v>
      </c>
      <c r="F381" s="5" t="n">
        <v>0</v>
      </c>
      <c r="G381" s="5" t="n">
        <v>24.9</v>
      </c>
      <c r="H381" s="5" t="n">
        <v>30.8</v>
      </c>
      <c r="I381" s="5" t="n">
        <v>5.5</v>
      </c>
      <c r="J381" s="5" t="n">
        <v>141.4</v>
      </c>
      <c r="K381" s="5" t="n">
        <v>11</v>
      </c>
    </row>
    <row r="382" customFormat="false" ht="15" hidden="false" customHeight="false" outlineLevel="0" collapsed="false">
      <c r="A382" s="5" t="n">
        <v>135</v>
      </c>
      <c r="B382" s="5" t="n">
        <v>10</v>
      </c>
      <c r="C382" s="5" t="n">
        <v>17.6</v>
      </c>
      <c r="D382" s="5" t="n">
        <v>17.1</v>
      </c>
      <c r="E382" s="5" t="n">
        <v>8.3</v>
      </c>
      <c r="F382" s="5" t="n">
        <v>0</v>
      </c>
      <c r="G382" s="5" t="n">
        <v>6.5</v>
      </c>
      <c r="H382" s="5" t="n">
        <v>8.2</v>
      </c>
      <c r="I382" s="5" t="n">
        <v>1.4</v>
      </c>
      <c r="J382" s="5" t="n">
        <v>110.1</v>
      </c>
      <c r="K382" s="5" t="n">
        <v>11</v>
      </c>
    </row>
    <row r="383" customFormat="false" ht="15" hidden="false" customHeight="false" outlineLevel="0" collapsed="false">
      <c r="A383" s="5" t="n">
        <v>140</v>
      </c>
      <c r="B383" s="5" t="n">
        <v>10</v>
      </c>
      <c r="C383" s="5" t="n">
        <v>18.6</v>
      </c>
      <c r="D383" s="5" t="n">
        <v>16.5</v>
      </c>
      <c r="E383" s="5" t="n">
        <v>8.1</v>
      </c>
      <c r="F383" s="5" t="n">
        <v>0</v>
      </c>
      <c r="G383" s="5" t="n">
        <v>7.6</v>
      </c>
      <c r="H383" s="5" t="n">
        <v>8.9</v>
      </c>
      <c r="I383" s="5" t="n">
        <v>1.4</v>
      </c>
      <c r="J383" s="5" t="n">
        <v>131.2</v>
      </c>
      <c r="K383" s="5" t="n">
        <v>11</v>
      </c>
    </row>
    <row r="384" customFormat="false" ht="15" hidden="false" customHeight="false" outlineLevel="0" collapsed="false">
      <c r="A384" s="5" t="n">
        <v>145</v>
      </c>
      <c r="B384" s="5" t="n">
        <v>10</v>
      </c>
      <c r="C384" s="5" t="n">
        <v>20.4</v>
      </c>
      <c r="D384" s="5" t="n">
        <v>17.6</v>
      </c>
      <c r="E384" s="5" t="n">
        <v>8.8</v>
      </c>
      <c r="F384" s="5" t="n">
        <v>0</v>
      </c>
      <c r="G384" s="5" t="n">
        <v>7.6</v>
      </c>
      <c r="H384" s="5" t="n">
        <v>9.3</v>
      </c>
      <c r="I384" s="5" t="n">
        <v>1.5</v>
      </c>
      <c r="J384" s="5" t="n">
        <v>153.9</v>
      </c>
      <c r="K384" s="5" t="n">
        <v>11</v>
      </c>
    </row>
    <row r="385" customFormat="false" ht="15" hidden="false" customHeight="false" outlineLevel="0" collapsed="false">
      <c r="A385" s="5" t="n">
        <v>150</v>
      </c>
      <c r="B385" s="5" t="n">
        <v>10</v>
      </c>
      <c r="C385" s="5" t="n">
        <v>19</v>
      </c>
      <c r="D385" s="5" t="n">
        <v>17.1</v>
      </c>
      <c r="E385" s="5" t="n">
        <v>8</v>
      </c>
      <c r="F385" s="5" t="n">
        <v>0</v>
      </c>
      <c r="G385" s="5" t="n">
        <v>7.6</v>
      </c>
      <c r="H385" s="5" t="n">
        <v>9</v>
      </c>
      <c r="I385" s="5" t="n">
        <v>2.2</v>
      </c>
      <c r="J385" s="5" t="n">
        <v>178.7</v>
      </c>
      <c r="K385" s="5" t="n">
        <v>11</v>
      </c>
    </row>
    <row r="386" customFormat="false" ht="15" hidden="false" customHeight="false" outlineLevel="0" collapsed="false">
      <c r="A386" s="5" t="n">
        <v>155</v>
      </c>
      <c r="B386" s="5" t="n">
        <v>10</v>
      </c>
      <c r="C386" s="5" t="n">
        <v>16.4</v>
      </c>
      <c r="D386" s="5" t="n">
        <v>17.8</v>
      </c>
      <c r="E386" s="5" t="n">
        <v>8.7</v>
      </c>
      <c r="F386" s="5" t="n">
        <v>0</v>
      </c>
      <c r="G386" s="5" t="n">
        <v>6.1</v>
      </c>
      <c r="H386" s="5" t="n">
        <v>7.9</v>
      </c>
      <c r="I386" s="5" t="n">
        <v>1.4</v>
      </c>
      <c r="J386" s="5" t="n">
        <v>199.5</v>
      </c>
      <c r="K386" s="5" t="n">
        <v>11</v>
      </c>
    </row>
    <row r="387" customFormat="false" ht="15" hidden="false" customHeight="false" outlineLevel="0" collapsed="false">
      <c r="A387" s="5" t="n">
        <v>160</v>
      </c>
      <c r="B387" s="5" t="n">
        <v>10</v>
      </c>
      <c r="C387" s="5" t="n">
        <v>25.6</v>
      </c>
      <c r="D387" s="5" t="n">
        <v>17.7</v>
      </c>
      <c r="E387" s="5" t="n">
        <v>8.4</v>
      </c>
      <c r="F387" s="5" t="n">
        <v>0</v>
      </c>
      <c r="G387" s="5" t="n">
        <v>5.5</v>
      </c>
      <c r="H387" s="5" t="n">
        <v>6.4</v>
      </c>
      <c r="I387" s="5" t="n">
        <v>1.7</v>
      </c>
      <c r="J387" s="5" t="n">
        <v>227.9</v>
      </c>
      <c r="K387" s="5" t="n">
        <v>11</v>
      </c>
    </row>
    <row r="388" customFormat="false" ht="15" hidden="false" customHeight="false" outlineLevel="0" collapsed="false">
      <c r="A388" s="5" t="n">
        <v>165</v>
      </c>
      <c r="B388" s="5" t="n">
        <v>10</v>
      </c>
      <c r="C388" s="5" t="n">
        <v>18</v>
      </c>
      <c r="D388" s="5" t="n">
        <v>16.6</v>
      </c>
      <c r="E388" s="5" t="n">
        <v>8.6</v>
      </c>
      <c r="F388" s="5" t="n">
        <v>0</v>
      </c>
      <c r="G388" s="5" t="n">
        <v>7</v>
      </c>
      <c r="H388" s="5" t="n">
        <v>8.6</v>
      </c>
      <c r="I388" s="5" t="n">
        <v>1.8</v>
      </c>
      <c r="J388" s="5" t="n">
        <v>253.1</v>
      </c>
      <c r="K388" s="5" t="n">
        <v>11</v>
      </c>
    </row>
    <row r="389" customFormat="false" ht="15" hidden="false" customHeight="false" outlineLevel="0" collapsed="false">
      <c r="A389" s="5" t="n">
        <v>170</v>
      </c>
      <c r="B389" s="5" t="n">
        <v>10</v>
      </c>
      <c r="C389" s="5" t="n">
        <v>20.6</v>
      </c>
      <c r="D389" s="5" t="n">
        <v>17.3</v>
      </c>
      <c r="E389" s="5" t="n">
        <v>8.7</v>
      </c>
      <c r="F389" s="5" t="n">
        <v>0</v>
      </c>
      <c r="G389" s="5" t="n">
        <v>8</v>
      </c>
      <c r="H389" s="5" t="n">
        <v>10.2</v>
      </c>
      <c r="I389" s="5" t="n">
        <v>1.6</v>
      </c>
      <c r="J389" s="5" t="n">
        <v>275.1</v>
      </c>
      <c r="K389" s="5" t="n">
        <v>11</v>
      </c>
    </row>
    <row r="390" customFormat="false" ht="15" hidden="false" customHeight="false" outlineLevel="0" collapsed="false">
      <c r="A390" s="5" t="n">
        <v>175</v>
      </c>
      <c r="B390" s="5" t="n">
        <v>10</v>
      </c>
      <c r="C390" s="5" t="n">
        <v>20.2</v>
      </c>
      <c r="D390" s="5" t="n">
        <v>17</v>
      </c>
      <c r="E390" s="5" t="n">
        <v>8.2</v>
      </c>
      <c r="F390" s="5" t="n">
        <v>0</v>
      </c>
      <c r="G390" s="5" t="n">
        <v>8</v>
      </c>
      <c r="H390" s="5" t="n">
        <v>9.8</v>
      </c>
      <c r="I390" s="5" t="n">
        <v>1.5</v>
      </c>
      <c r="J390" s="5" t="n">
        <v>296.9</v>
      </c>
      <c r="K390" s="5" t="n">
        <v>11</v>
      </c>
    </row>
    <row r="391" customFormat="false" ht="15" hidden="false" customHeight="false" outlineLevel="0" collapsed="false">
      <c r="A391" s="5" t="n">
        <v>180</v>
      </c>
      <c r="B391" s="5" t="n">
        <v>10</v>
      </c>
      <c r="C391" s="5" t="n">
        <v>18.2</v>
      </c>
      <c r="D391" s="5" t="n">
        <v>17</v>
      </c>
      <c r="E391" s="5" t="n">
        <v>8</v>
      </c>
      <c r="F391" s="5" t="n">
        <v>0</v>
      </c>
      <c r="G391" s="5" t="n">
        <v>6.9</v>
      </c>
      <c r="H391" s="5" t="n">
        <v>7.8</v>
      </c>
      <c r="I391" s="5" t="n">
        <v>1.4</v>
      </c>
      <c r="J391" s="5" t="n">
        <v>317.9</v>
      </c>
      <c r="K391" s="5" t="n">
        <v>11</v>
      </c>
    </row>
    <row r="392" customFormat="false" ht="15" hidden="false" customHeight="false" outlineLevel="0" collapsed="false">
      <c r="A392" s="5" t="n">
        <v>185</v>
      </c>
      <c r="B392" s="5" t="n">
        <v>10</v>
      </c>
      <c r="C392" s="5" t="n">
        <v>18.2</v>
      </c>
      <c r="D392" s="5" t="n">
        <v>17.4</v>
      </c>
      <c r="E392" s="5" t="n">
        <v>8.8</v>
      </c>
      <c r="F392" s="5" t="n">
        <v>0</v>
      </c>
      <c r="G392" s="5" t="n">
        <v>8.3</v>
      </c>
      <c r="H392" s="5" t="n">
        <v>9.1</v>
      </c>
      <c r="I392" s="5" t="n">
        <v>1.6</v>
      </c>
      <c r="J392" s="5" t="n">
        <v>280.2</v>
      </c>
      <c r="K392" s="5" t="n">
        <v>11</v>
      </c>
    </row>
    <row r="395" customFormat="false" ht="15" hidden="false" customHeight="false" outlineLevel="0" collapsed="false">
      <c r="A395" s="3" t="s">
        <v>38</v>
      </c>
    </row>
    <row r="396" customFormat="false" ht="30" hidden="false" customHeight="true" outlineLevel="0" collapsed="false">
      <c r="A396" s="4" t="s">
        <v>831</v>
      </c>
      <c r="B396" s="4" t="s">
        <v>832</v>
      </c>
      <c r="C396" s="4" t="s">
        <v>833</v>
      </c>
      <c r="D396" s="4" t="s">
        <v>29</v>
      </c>
      <c r="E396" s="4" t="s">
        <v>655</v>
      </c>
      <c r="F396" s="4" t="s">
        <v>534</v>
      </c>
      <c r="G396" s="4" t="s">
        <v>821</v>
      </c>
      <c r="H396" s="4" t="s">
        <v>834</v>
      </c>
      <c r="I396" s="4" t="s">
        <v>835</v>
      </c>
      <c r="J396" s="4" t="s">
        <v>836</v>
      </c>
      <c r="K396" s="4" t="s">
        <v>837</v>
      </c>
    </row>
    <row r="397" customFormat="false" ht="15" hidden="false" customHeight="false" outlineLevel="0" collapsed="false">
      <c r="A397" s="5" t="n">
        <v>0</v>
      </c>
      <c r="B397" s="5" t="n">
        <v>1</v>
      </c>
      <c r="C397" s="5" t="n">
        <v>5</v>
      </c>
      <c r="D397" s="5" t="n">
        <v>109.7</v>
      </c>
      <c r="E397" s="5" t="n">
        <v>100.7</v>
      </c>
      <c r="F397" s="5" t="n">
        <v>0</v>
      </c>
      <c r="G397" s="5" t="n">
        <v>31.5</v>
      </c>
      <c r="H397" s="5" t="n">
        <v>1.4</v>
      </c>
      <c r="I397" s="5" t="n">
        <v>4.3</v>
      </c>
      <c r="J397" s="5" t="n">
        <v>85.7</v>
      </c>
      <c r="K397" s="5" t="n">
        <v>11</v>
      </c>
    </row>
    <row r="398" customFormat="false" ht="15" hidden="false" customHeight="false" outlineLevel="0" collapsed="false">
      <c r="A398" s="5" t="n">
        <v>5</v>
      </c>
      <c r="B398" s="5" t="n">
        <v>1</v>
      </c>
      <c r="C398" s="5" t="n">
        <v>7.8</v>
      </c>
      <c r="D398" s="5" t="n">
        <v>107.3</v>
      </c>
      <c r="E398" s="5" t="n">
        <v>104.7</v>
      </c>
      <c r="F398" s="5" t="n">
        <v>0</v>
      </c>
      <c r="G398" s="5" t="n">
        <v>63.3</v>
      </c>
      <c r="H398" s="5" t="n">
        <v>2.4</v>
      </c>
      <c r="I398" s="5" t="n">
        <v>4.7</v>
      </c>
      <c r="J398" s="5" t="n">
        <v>94</v>
      </c>
      <c r="K398" s="5" t="n">
        <v>11</v>
      </c>
    </row>
    <row r="399" customFormat="false" ht="15" hidden="false" customHeight="false" outlineLevel="0" collapsed="false">
      <c r="A399" s="5" t="n">
        <v>10</v>
      </c>
      <c r="B399" s="5" t="n">
        <v>1</v>
      </c>
      <c r="C399" s="5" t="n">
        <v>7.2</v>
      </c>
      <c r="D399" s="5" t="n">
        <v>110.3</v>
      </c>
      <c r="E399" s="5" t="n">
        <v>105.5</v>
      </c>
      <c r="F399" s="5" t="n">
        <v>0</v>
      </c>
      <c r="G399" s="5" t="n">
        <v>72.2</v>
      </c>
      <c r="H399" s="5" t="n">
        <v>2.6</v>
      </c>
      <c r="I399" s="5" t="n">
        <v>5.3</v>
      </c>
      <c r="J399" s="5" t="n">
        <v>104.2</v>
      </c>
      <c r="K399" s="5" t="n">
        <v>11</v>
      </c>
    </row>
    <row r="400" customFormat="false" ht="15" hidden="false" customHeight="false" outlineLevel="0" collapsed="false">
      <c r="A400" s="5" t="n">
        <v>15</v>
      </c>
      <c r="B400" s="5" t="n">
        <v>1</v>
      </c>
      <c r="C400" s="5" t="n">
        <v>8.2</v>
      </c>
      <c r="D400" s="5" t="n">
        <v>105.6</v>
      </c>
      <c r="E400" s="5" t="n">
        <v>103.7</v>
      </c>
      <c r="F400" s="5" t="n">
        <v>0</v>
      </c>
      <c r="G400" s="5" t="n">
        <v>80.1</v>
      </c>
      <c r="H400" s="5" t="n">
        <v>2.4</v>
      </c>
      <c r="I400" s="5" t="n">
        <v>5.8</v>
      </c>
      <c r="J400" s="5" t="n">
        <v>112.4</v>
      </c>
      <c r="K400" s="5" t="n">
        <v>11</v>
      </c>
    </row>
    <row r="401" customFormat="false" ht="15" hidden="false" customHeight="false" outlineLevel="0" collapsed="false">
      <c r="A401" s="5" t="n">
        <v>20</v>
      </c>
      <c r="B401" s="5" t="n">
        <v>1</v>
      </c>
      <c r="C401" s="5" t="n">
        <v>8.8</v>
      </c>
      <c r="D401" s="5" t="n">
        <v>109.1</v>
      </c>
      <c r="E401" s="5" t="n">
        <v>105.1</v>
      </c>
      <c r="F401" s="5" t="n">
        <v>0</v>
      </c>
      <c r="G401" s="5" t="n">
        <v>91.2</v>
      </c>
      <c r="H401" s="5" t="n">
        <v>2.5</v>
      </c>
      <c r="I401" s="5" t="n">
        <v>6.5</v>
      </c>
      <c r="J401" s="5" t="n">
        <v>122.6</v>
      </c>
      <c r="K401" s="5" t="n">
        <v>11</v>
      </c>
    </row>
    <row r="402" customFormat="false" ht="15" hidden="false" customHeight="false" outlineLevel="0" collapsed="false">
      <c r="A402" s="5" t="n">
        <v>25</v>
      </c>
      <c r="B402" s="5" t="n">
        <v>1</v>
      </c>
      <c r="C402" s="5" t="n">
        <v>9.8</v>
      </c>
      <c r="D402" s="5" t="n">
        <v>107.7</v>
      </c>
      <c r="E402" s="5" t="n">
        <v>93.7</v>
      </c>
      <c r="F402" s="5" t="n">
        <v>0</v>
      </c>
      <c r="G402" s="5" t="n">
        <v>86.3</v>
      </c>
      <c r="H402" s="5" t="n">
        <v>2.4</v>
      </c>
      <c r="I402" s="5" t="n">
        <v>6.4</v>
      </c>
      <c r="J402" s="5" t="n">
        <v>133.8</v>
      </c>
      <c r="K402" s="5" t="n">
        <v>11</v>
      </c>
    </row>
    <row r="403" customFormat="false" ht="15" hidden="false" customHeight="false" outlineLevel="0" collapsed="false">
      <c r="A403" s="5" t="n">
        <v>30</v>
      </c>
      <c r="B403" s="5" t="n">
        <v>1</v>
      </c>
      <c r="C403" s="5" t="n">
        <v>10</v>
      </c>
      <c r="D403" s="5" t="n">
        <v>97.9</v>
      </c>
      <c r="E403" s="5" t="n">
        <v>90.3</v>
      </c>
      <c r="F403" s="5" t="n">
        <v>0</v>
      </c>
      <c r="G403" s="5" t="n">
        <v>84</v>
      </c>
      <c r="H403" s="5" t="n">
        <v>2.4</v>
      </c>
      <c r="I403" s="5" t="n">
        <v>5.9</v>
      </c>
      <c r="J403" s="5" t="n">
        <v>145</v>
      </c>
      <c r="K403" s="5" t="n">
        <v>11</v>
      </c>
    </row>
    <row r="404" customFormat="false" ht="15" hidden="false" customHeight="false" outlineLevel="0" collapsed="false">
      <c r="A404" s="5" t="n">
        <v>35</v>
      </c>
      <c r="B404" s="5" t="n">
        <v>1</v>
      </c>
      <c r="C404" s="5" t="n">
        <v>13.2</v>
      </c>
      <c r="D404" s="5" t="n">
        <v>98</v>
      </c>
      <c r="E404" s="5" t="n">
        <v>90.1</v>
      </c>
      <c r="F404" s="5" t="n">
        <v>0</v>
      </c>
      <c r="G404" s="5" t="n">
        <v>48.2</v>
      </c>
      <c r="H404" s="5" t="n">
        <v>1.2</v>
      </c>
      <c r="I404" s="5" t="n">
        <v>6</v>
      </c>
      <c r="J404" s="5" t="n">
        <v>156.6</v>
      </c>
      <c r="K404" s="5" t="n">
        <v>11</v>
      </c>
    </row>
    <row r="405" customFormat="false" ht="15" hidden="false" customHeight="false" outlineLevel="0" collapsed="false">
      <c r="A405" s="5" t="n">
        <v>40</v>
      </c>
      <c r="B405" s="5" t="n">
        <v>1</v>
      </c>
      <c r="C405" s="5" t="n">
        <v>10</v>
      </c>
      <c r="D405" s="5" t="n">
        <v>95.2</v>
      </c>
      <c r="E405" s="5" t="n">
        <v>91.4</v>
      </c>
      <c r="F405" s="5" t="n">
        <v>0</v>
      </c>
      <c r="G405" s="5" t="n">
        <v>85.3</v>
      </c>
      <c r="H405" s="5" t="n">
        <v>2.6</v>
      </c>
      <c r="I405" s="5" t="n">
        <v>6</v>
      </c>
      <c r="J405" s="5" t="n">
        <v>169</v>
      </c>
      <c r="K405" s="5" t="n">
        <v>11</v>
      </c>
    </row>
    <row r="406" customFormat="false" ht="15" hidden="false" customHeight="false" outlineLevel="0" collapsed="false">
      <c r="A406" s="5" t="n">
        <v>45</v>
      </c>
      <c r="B406" s="5" t="n">
        <v>1</v>
      </c>
      <c r="C406" s="5" t="n">
        <v>10</v>
      </c>
      <c r="D406" s="5" t="n">
        <v>94</v>
      </c>
      <c r="E406" s="5" t="n">
        <v>91.6</v>
      </c>
      <c r="F406" s="5" t="n">
        <v>0</v>
      </c>
      <c r="G406" s="5" t="n">
        <v>85.6</v>
      </c>
      <c r="H406" s="5" t="n">
        <v>2.4</v>
      </c>
      <c r="I406" s="5" t="n">
        <v>6</v>
      </c>
      <c r="J406" s="5" t="n">
        <v>181</v>
      </c>
      <c r="K406" s="5" t="n">
        <v>11</v>
      </c>
    </row>
    <row r="407" customFormat="false" ht="15" hidden="false" customHeight="false" outlineLevel="0" collapsed="false">
      <c r="A407" s="5" t="n">
        <v>50</v>
      </c>
      <c r="B407" s="5" t="n">
        <v>1</v>
      </c>
      <c r="C407" s="5" t="n">
        <v>10</v>
      </c>
      <c r="D407" s="5" t="n">
        <v>96.5</v>
      </c>
      <c r="E407" s="5" t="n">
        <v>91.4</v>
      </c>
      <c r="F407" s="5" t="n">
        <v>0</v>
      </c>
      <c r="G407" s="5" t="n">
        <v>84.9</v>
      </c>
      <c r="H407" s="5" t="n">
        <v>2.4</v>
      </c>
      <c r="I407" s="5" t="n">
        <v>6.1</v>
      </c>
      <c r="J407" s="5" t="n">
        <v>192</v>
      </c>
      <c r="K407" s="5" t="n">
        <v>11</v>
      </c>
    </row>
    <row r="408" customFormat="false" ht="15" hidden="false" customHeight="false" outlineLevel="0" collapsed="false">
      <c r="A408" s="5" t="n">
        <v>55</v>
      </c>
      <c r="B408" s="5" t="n">
        <v>1</v>
      </c>
      <c r="C408" s="5" t="n">
        <v>10.4</v>
      </c>
      <c r="D408" s="5" t="n">
        <v>94.9</v>
      </c>
      <c r="E408" s="5" t="n">
        <v>89.2</v>
      </c>
      <c r="F408" s="5" t="n">
        <v>0</v>
      </c>
      <c r="G408" s="5" t="n">
        <v>86</v>
      </c>
      <c r="H408" s="5" t="n">
        <v>2.6</v>
      </c>
      <c r="I408" s="5" t="n">
        <v>6.3</v>
      </c>
      <c r="J408" s="5" t="n">
        <v>203.2</v>
      </c>
      <c r="K408" s="5" t="n">
        <v>11</v>
      </c>
    </row>
    <row r="409" customFormat="false" ht="15" hidden="false" customHeight="false" outlineLevel="0" collapsed="false">
      <c r="A409" s="5" t="n">
        <v>60</v>
      </c>
      <c r="B409" s="5" t="n">
        <v>1</v>
      </c>
      <c r="C409" s="5" t="n">
        <v>12.4</v>
      </c>
      <c r="D409" s="5" t="n">
        <v>80.1</v>
      </c>
      <c r="E409" s="5" t="n">
        <v>77.8</v>
      </c>
      <c r="F409" s="5" t="n">
        <v>0</v>
      </c>
      <c r="G409" s="5" t="n">
        <v>95.2</v>
      </c>
      <c r="H409" s="5" t="n">
        <v>2.4</v>
      </c>
      <c r="I409" s="5" t="n">
        <v>6.8</v>
      </c>
      <c r="J409" s="5" t="n">
        <v>216.2</v>
      </c>
      <c r="K409" s="5" t="n">
        <v>11</v>
      </c>
    </row>
    <row r="410" customFormat="false" ht="15" hidden="false" customHeight="false" outlineLevel="0" collapsed="false">
      <c r="A410" s="5" t="n">
        <v>65</v>
      </c>
      <c r="B410" s="5" t="n">
        <v>2</v>
      </c>
      <c r="C410" s="5" t="n">
        <v>20.8</v>
      </c>
      <c r="D410" s="5" t="n">
        <v>81.1</v>
      </c>
      <c r="E410" s="5" t="n">
        <v>77.4</v>
      </c>
      <c r="F410" s="5" t="n">
        <v>0</v>
      </c>
      <c r="G410" s="5" t="n">
        <v>76.6</v>
      </c>
      <c r="H410" s="5" t="n">
        <v>1.2</v>
      </c>
      <c r="I410" s="5" t="n">
        <v>8.7</v>
      </c>
      <c r="J410" s="5" t="n">
        <v>234.3</v>
      </c>
      <c r="K410" s="5" t="n">
        <v>11</v>
      </c>
    </row>
    <row r="411" customFormat="false" ht="15" hidden="false" customHeight="false" outlineLevel="0" collapsed="false">
      <c r="A411" s="5" t="n">
        <v>70</v>
      </c>
      <c r="B411" s="5" t="n">
        <v>2</v>
      </c>
      <c r="C411" s="5" t="n">
        <v>18.4</v>
      </c>
      <c r="D411" s="5" t="n">
        <v>83.4</v>
      </c>
      <c r="E411" s="5" t="n">
        <v>79.2</v>
      </c>
      <c r="F411" s="5" t="n">
        <v>0</v>
      </c>
      <c r="G411" s="5" t="n">
        <v>139.1</v>
      </c>
      <c r="H411" s="5" t="n">
        <v>3</v>
      </c>
      <c r="I411" s="5" t="n">
        <v>10.2</v>
      </c>
      <c r="J411" s="5" t="n">
        <v>254.1</v>
      </c>
      <c r="K411" s="5" t="n">
        <v>11</v>
      </c>
    </row>
    <row r="412" customFormat="false" ht="15" hidden="false" customHeight="false" outlineLevel="0" collapsed="false">
      <c r="A412" s="5" t="n">
        <v>75</v>
      </c>
      <c r="B412" s="5" t="n">
        <v>2</v>
      </c>
      <c r="C412" s="5" t="n">
        <v>21</v>
      </c>
      <c r="D412" s="5" t="n">
        <v>86.1</v>
      </c>
      <c r="E412" s="5" t="n">
        <v>81</v>
      </c>
      <c r="F412" s="5" t="n">
        <v>0</v>
      </c>
      <c r="G412" s="5" t="n">
        <v>158.5</v>
      </c>
      <c r="H412" s="5" t="n">
        <v>3</v>
      </c>
      <c r="I412" s="5" t="n">
        <v>11.3</v>
      </c>
      <c r="J412" s="5" t="n">
        <v>273.4</v>
      </c>
      <c r="K412" s="5" t="n">
        <v>11</v>
      </c>
    </row>
    <row r="413" customFormat="false" ht="15" hidden="false" customHeight="false" outlineLevel="0" collapsed="false">
      <c r="A413" s="5" t="n">
        <v>80</v>
      </c>
      <c r="B413" s="5" t="n">
        <v>2</v>
      </c>
      <c r="C413" s="5" t="n">
        <v>23.4</v>
      </c>
      <c r="D413" s="5" t="n">
        <v>86.6</v>
      </c>
      <c r="E413" s="5" t="n">
        <v>81</v>
      </c>
      <c r="F413" s="5" t="n">
        <v>0</v>
      </c>
      <c r="G413" s="5" t="n">
        <v>177.3</v>
      </c>
      <c r="H413" s="5" t="n">
        <v>3</v>
      </c>
      <c r="I413" s="5" t="n">
        <v>12.4</v>
      </c>
      <c r="J413" s="5" t="n">
        <v>300.2</v>
      </c>
      <c r="K413" s="5" t="n">
        <v>11</v>
      </c>
    </row>
    <row r="414" customFormat="false" ht="15" hidden="false" customHeight="false" outlineLevel="0" collapsed="false">
      <c r="A414" s="5" t="n">
        <v>85</v>
      </c>
      <c r="B414" s="5" t="n">
        <v>2</v>
      </c>
      <c r="C414" s="5" t="n">
        <v>24.8</v>
      </c>
      <c r="D414" s="5" t="n">
        <v>86.8</v>
      </c>
      <c r="E414" s="5" t="n">
        <v>81.3</v>
      </c>
      <c r="F414" s="5" t="n">
        <v>0</v>
      </c>
      <c r="G414" s="5" t="n">
        <v>189.6</v>
      </c>
      <c r="H414" s="5" t="n">
        <v>3.2</v>
      </c>
      <c r="I414" s="5" t="n">
        <v>13</v>
      </c>
      <c r="J414" s="5" t="n">
        <v>325.6</v>
      </c>
      <c r="K414" s="5" t="n">
        <v>11</v>
      </c>
    </row>
    <row r="415" customFormat="false" ht="15" hidden="false" customHeight="false" outlineLevel="0" collapsed="false">
      <c r="A415" s="5" t="n">
        <v>90</v>
      </c>
      <c r="B415" s="5" t="n">
        <v>2</v>
      </c>
      <c r="C415" s="5" t="n">
        <v>25</v>
      </c>
      <c r="D415" s="5" t="n">
        <v>87.3</v>
      </c>
      <c r="E415" s="5" t="n">
        <v>80.8</v>
      </c>
      <c r="F415" s="5" t="n">
        <v>0</v>
      </c>
      <c r="G415" s="5" t="n">
        <v>188.8</v>
      </c>
      <c r="H415" s="5" t="n">
        <v>3.2</v>
      </c>
      <c r="I415" s="5" t="n">
        <v>12.9</v>
      </c>
      <c r="J415" s="5" t="n">
        <v>110.9</v>
      </c>
      <c r="K415" s="5" t="n">
        <v>11</v>
      </c>
    </row>
    <row r="416" customFormat="false" ht="15" hidden="false" customHeight="false" outlineLevel="0" collapsed="false">
      <c r="A416" s="5" t="n">
        <v>95</v>
      </c>
      <c r="B416" s="5" t="n">
        <v>2</v>
      </c>
      <c r="C416" s="5" t="n">
        <v>33.8</v>
      </c>
      <c r="D416" s="5" t="n">
        <v>87.8</v>
      </c>
      <c r="E416" s="5" t="n">
        <v>79.8</v>
      </c>
      <c r="F416" s="5" t="n">
        <v>0</v>
      </c>
      <c r="G416" s="5" t="n">
        <v>122.7</v>
      </c>
      <c r="H416" s="5" t="n">
        <v>2.1</v>
      </c>
      <c r="I416" s="5" t="n">
        <v>13.4</v>
      </c>
      <c r="J416" s="5" t="n">
        <v>83</v>
      </c>
      <c r="K416" s="5" t="n">
        <v>11</v>
      </c>
    </row>
    <row r="417" customFormat="false" ht="15" hidden="false" customHeight="false" outlineLevel="0" collapsed="false">
      <c r="A417" s="5" t="n">
        <v>100</v>
      </c>
      <c r="B417" s="5" t="n">
        <v>2</v>
      </c>
      <c r="C417" s="5" t="n">
        <v>25</v>
      </c>
      <c r="D417" s="5" t="n">
        <v>85.6</v>
      </c>
      <c r="E417" s="5" t="n">
        <v>80.5</v>
      </c>
      <c r="F417" s="5" t="n">
        <v>0</v>
      </c>
      <c r="G417" s="5" t="n">
        <v>187.5</v>
      </c>
      <c r="H417" s="5" t="n">
        <v>3</v>
      </c>
      <c r="I417" s="5" t="n">
        <v>13.3</v>
      </c>
      <c r="J417" s="5" t="n">
        <v>114.1</v>
      </c>
      <c r="K417" s="5" t="n">
        <v>11</v>
      </c>
    </row>
    <row r="418" customFormat="false" ht="15" hidden="false" customHeight="false" outlineLevel="0" collapsed="false">
      <c r="A418" s="5" t="n">
        <v>105</v>
      </c>
      <c r="B418" s="5" t="n">
        <v>2</v>
      </c>
      <c r="C418" s="5" t="n">
        <v>24.8</v>
      </c>
      <c r="D418" s="5" t="n">
        <v>85.4</v>
      </c>
      <c r="E418" s="5" t="n">
        <v>79.7</v>
      </c>
      <c r="F418" s="5" t="n">
        <v>0</v>
      </c>
      <c r="G418" s="5" t="n">
        <v>187.2</v>
      </c>
      <c r="H418" s="5" t="n">
        <v>3</v>
      </c>
      <c r="I418" s="5" t="n">
        <v>13.5</v>
      </c>
      <c r="J418" s="5" t="n">
        <v>140.5</v>
      </c>
      <c r="K418" s="5" t="n">
        <v>11</v>
      </c>
    </row>
    <row r="419" customFormat="false" ht="15" hidden="false" customHeight="false" outlineLevel="0" collapsed="false">
      <c r="A419" s="5" t="n">
        <v>110</v>
      </c>
      <c r="B419" s="5" t="n">
        <v>2</v>
      </c>
      <c r="C419" s="5" t="n">
        <v>25.2</v>
      </c>
      <c r="D419" s="5" t="n">
        <v>85.5</v>
      </c>
      <c r="E419" s="5" t="n">
        <v>80.2</v>
      </c>
      <c r="F419" s="5" t="n">
        <v>0</v>
      </c>
      <c r="G419" s="5" t="n">
        <v>190.9</v>
      </c>
      <c r="H419" s="5" t="n">
        <v>2.9</v>
      </c>
      <c r="I419" s="5" t="n">
        <v>13.1</v>
      </c>
      <c r="J419" s="5" t="n">
        <v>166.1</v>
      </c>
      <c r="K419" s="5" t="n">
        <v>11</v>
      </c>
    </row>
    <row r="420" customFormat="false" ht="15" hidden="false" customHeight="false" outlineLevel="0" collapsed="false">
      <c r="A420" s="5" t="n">
        <v>115</v>
      </c>
      <c r="B420" s="5" t="n">
        <v>2</v>
      </c>
      <c r="C420" s="5" t="n">
        <v>28</v>
      </c>
      <c r="D420" s="5" t="n">
        <v>86.1</v>
      </c>
      <c r="E420" s="5" t="n">
        <v>80.4</v>
      </c>
      <c r="F420" s="5" t="n">
        <v>0</v>
      </c>
      <c r="G420" s="5" t="n">
        <v>216.5</v>
      </c>
      <c r="H420" s="5" t="n">
        <v>3.3</v>
      </c>
      <c r="I420" s="5" t="n">
        <v>15</v>
      </c>
      <c r="J420" s="5" t="n">
        <v>193.5</v>
      </c>
      <c r="K420" s="5" t="n">
        <v>11</v>
      </c>
    </row>
    <row r="421" customFormat="false" ht="15" hidden="false" customHeight="false" outlineLevel="0" collapsed="false">
      <c r="A421" s="5" t="n">
        <v>120</v>
      </c>
      <c r="B421" s="5" t="n">
        <v>3</v>
      </c>
      <c r="C421" s="5" t="n">
        <v>32</v>
      </c>
      <c r="D421" s="5" t="n">
        <v>84.5</v>
      </c>
      <c r="E421" s="5" t="n">
        <v>80.1</v>
      </c>
      <c r="F421" s="5" t="n">
        <v>0</v>
      </c>
      <c r="G421" s="5" t="n">
        <v>245.9</v>
      </c>
      <c r="H421" s="5" t="n">
        <v>3.2</v>
      </c>
      <c r="I421" s="5" t="n">
        <v>17</v>
      </c>
      <c r="J421" s="5" t="n">
        <v>222.1</v>
      </c>
      <c r="K421" s="5" t="n">
        <v>11</v>
      </c>
    </row>
    <row r="422" customFormat="false" ht="15" hidden="false" customHeight="false" outlineLevel="0" collapsed="false">
      <c r="A422" s="5" t="n">
        <v>125</v>
      </c>
      <c r="B422" s="5" t="n">
        <v>3</v>
      </c>
      <c r="C422" s="5" t="n">
        <v>49.4</v>
      </c>
      <c r="D422" s="5" t="n">
        <v>85.1</v>
      </c>
      <c r="E422" s="5" t="n">
        <v>79</v>
      </c>
      <c r="F422" s="5" t="n">
        <v>0</v>
      </c>
      <c r="G422" s="5" t="n">
        <v>177.8</v>
      </c>
      <c r="H422" s="5" t="n">
        <v>2</v>
      </c>
      <c r="I422" s="5" t="n">
        <v>19.4</v>
      </c>
      <c r="J422" s="5" t="n">
        <v>261.2</v>
      </c>
      <c r="K422" s="5" t="n">
        <v>11</v>
      </c>
    </row>
    <row r="423" customFormat="false" ht="15" hidden="false" customHeight="false" outlineLevel="0" collapsed="false">
      <c r="A423" s="5" t="n">
        <v>130</v>
      </c>
      <c r="B423" s="5" t="n">
        <v>3</v>
      </c>
      <c r="C423" s="5" t="n">
        <v>41.8</v>
      </c>
      <c r="D423" s="5" t="n">
        <v>86.2</v>
      </c>
      <c r="E423" s="5" t="n">
        <v>81.4</v>
      </c>
      <c r="F423" s="5" t="n">
        <v>0</v>
      </c>
      <c r="G423" s="5" t="n">
        <v>329.7</v>
      </c>
      <c r="H423" s="5" t="n">
        <v>3.8</v>
      </c>
      <c r="I423" s="5" t="n">
        <v>22.5</v>
      </c>
      <c r="J423" s="5" t="n">
        <v>309.1</v>
      </c>
      <c r="K423" s="5" t="n">
        <v>11</v>
      </c>
    </row>
    <row r="424" customFormat="false" ht="15" hidden="false" customHeight="false" outlineLevel="0" collapsed="false">
      <c r="A424" s="5" t="n">
        <v>135</v>
      </c>
      <c r="B424" s="5" t="n">
        <v>4</v>
      </c>
      <c r="C424" s="5" t="n">
        <v>46</v>
      </c>
      <c r="D424" s="5" t="n">
        <v>86.7</v>
      </c>
      <c r="E424" s="5" t="n">
        <v>82</v>
      </c>
      <c r="F424" s="5" t="n">
        <v>0</v>
      </c>
      <c r="G424" s="5" t="n">
        <v>356.9</v>
      </c>
      <c r="H424" s="5" t="n">
        <v>3.7</v>
      </c>
      <c r="I424" s="5" t="n">
        <v>24.5</v>
      </c>
      <c r="J424" s="5" t="n">
        <v>172.8</v>
      </c>
      <c r="K424" s="5" t="n">
        <v>11</v>
      </c>
    </row>
    <row r="425" customFormat="false" ht="15" hidden="false" customHeight="false" outlineLevel="0" collapsed="false">
      <c r="A425" s="5" t="n">
        <v>140</v>
      </c>
      <c r="B425" s="5" t="n">
        <v>5</v>
      </c>
      <c r="C425" s="5" t="n">
        <v>49.6</v>
      </c>
      <c r="D425" s="5" t="n">
        <v>85.9</v>
      </c>
      <c r="E425" s="5" t="n">
        <v>81.3</v>
      </c>
      <c r="F425" s="5" t="n">
        <v>0</v>
      </c>
      <c r="G425" s="5" t="n">
        <v>380.9</v>
      </c>
      <c r="H425" s="5" t="n">
        <v>4.1</v>
      </c>
      <c r="I425" s="5" t="n">
        <v>25.9</v>
      </c>
      <c r="J425" s="5" t="n">
        <v>101.2</v>
      </c>
      <c r="K425" s="5" t="n">
        <v>11</v>
      </c>
    </row>
    <row r="426" customFormat="false" ht="15" hidden="false" customHeight="false" outlineLevel="0" collapsed="false">
      <c r="A426" s="5" t="n">
        <v>145</v>
      </c>
      <c r="B426" s="5" t="n">
        <v>5</v>
      </c>
      <c r="C426" s="5" t="n">
        <v>50</v>
      </c>
      <c r="D426" s="5" t="n">
        <v>87</v>
      </c>
      <c r="E426" s="5" t="n">
        <v>81.5</v>
      </c>
      <c r="F426" s="5" t="n">
        <v>0</v>
      </c>
      <c r="G426" s="5" t="n">
        <v>383.2</v>
      </c>
      <c r="H426" s="5" t="n">
        <v>3.9</v>
      </c>
      <c r="I426" s="5" t="n">
        <v>26</v>
      </c>
      <c r="J426" s="5" t="n">
        <v>151</v>
      </c>
      <c r="K426" s="5" t="n">
        <v>11</v>
      </c>
    </row>
    <row r="427" customFormat="false" ht="15" hidden="false" customHeight="false" outlineLevel="0" collapsed="false">
      <c r="A427" s="5" t="n">
        <v>150</v>
      </c>
      <c r="B427" s="5" t="n">
        <v>5</v>
      </c>
      <c r="C427" s="5" t="n">
        <v>50</v>
      </c>
      <c r="D427" s="5" t="n">
        <v>86.4</v>
      </c>
      <c r="E427" s="5" t="n">
        <v>81.2</v>
      </c>
      <c r="F427" s="5" t="n">
        <v>0</v>
      </c>
      <c r="G427" s="5" t="n">
        <v>379.7</v>
      </c>
      <c r="H427" s="5" t="n">
        <v>4.1</v>
      </c>
      <c r="I427" s="5" t="n">
        <v>25.8</v>
      </c>
      <c r="J427" s="5" t="n">
        <v>203.2</v>
      </c>
      <c r="K427" s="5" t="n">
        <v>11</v>
      </c>
    </row>
    <row r="428" customFormat="false" ht="15" hidden="false" customHeight="false" outlineLevel="0" collapsed="false">
      <c r="A428" s="5" t="n">
        <v>155</v>
      </c>
      <c r="B428" s="5" t="n">
        <v>5</v>
      </c>
      <c r="C428" s="5" t="n">
        <v>66.8</v>
      </c>
      <c r="D428" s="5" t="n">
        <v>86.1</v>
      </c>
      <c r="E428" s="5" t="n">
        <v>80.4</v>
      </c>
      <c r="F428" s="5" t="n">
        <v>0</v>
      </c>
      <c r="G428" s="5" t="n">
        <v>227.5</v>
      </c>
      <c r="H428" s="5" t="n">
        <v>1.9</v>
      </c>
      <c r="I428" s="5" t="n">
        <v>26.3</v>
      </c>
      <c r="J428" s="5" t="n">
        <v>267.1</v>
      </c>
      <c r="K428" s="5" t="n">
        <v>11</v>
      </c>
    </row>
    <row r="429" customFormat="false" ht="15" hidden="false" customHeight="false" outlineLevel="0" collapsed="false">
      <c r="A429" s="5" t="n">
        <v>160</v>
      </c>
      <c r="B429" s="5" t="n">
        <v>4</v>
      </c>
      <c r="C429" s="5" t="n">
        <v>50</v>
      </c>
      <c r="D429" s="5" t="n">
        <v>86</v>
      </c>
      <c r="E429" s="5" t="n">
        <v>80.8</v>
      </c>
      <c r="F429" s="5" t="n">
        <v>0</v>
      </c>
      <c r="G429" s="5" t="n">
        <v>379.4</v>
      </c>
      <c r="H429" s="5" t="n">
        <v>4.1</v>
      </c>
      <c r="I429" s="5" t="n">
        <v>25.9</v>
      </c>
      <c r="J429" s="5" t="n">
        <v>322.2</v>
      </c>
      <c r="K429" s="5" t="n">
        <v>11</v>
      </c>
    </row>
    <row r="430" customFormat="false" ht="15" hidden="false" customHeight="false" outlineLevel="0" collapsed="false">
      <c r="A430" s="5" t="n">
        <v>165</v>
      </c>
      <c r="B430" s="5" t="n">
        <v>5</v>
      </c>
      <c r="C430" s="5" t="n">
        <v>50</v>
      </c>
      <c r="D430" s="5" t="n">
        <v>87.1</v>
      </c>
      <c r="E430" s="5" t="n">
        <v>81.9</v>
      </c>
      <c r="F430" s="5" t="n">
        <v>0</v>
      </c>
      <c r="G430" s="5" t="n">
        <v>384.1</v>
      </c>
      <c r="H430" s="5" t="n">
        <v>3.9</v>
      </c>
      <c r="I430" s="5" t="n">
        <v>26.1</v>
      </c>
      <c r="J430" s="5" t="n">
        <v>71.5</v>
      </c>
      <c r="K430" s="5" t="n">
        <v>11</v>
      </c>
    </row>
    <row r="431" customFormat="false" ht="15" hidden="false" customHeight="false" outlineLevel="0" collapsed="false">
      <c r="A431" s="5" t="n">
        <v>170</v>
      </c>
      <c r="B431" s="5" t="n">
        <v>5</v>
      </c>
      <c r="C431" s="5" t="n">
        <v>53.2</v>
      </c>
      <c r="D431" s="5" t="n">
        <v>86.4</v>
      </c>
      <c r="E431" s="5" t="n">
        <v>81.5</v>
      </c>
      <c r="F431" s="5" t="n">
        <v>0</v>
      </c>
      <c r="G431" s="5" t="n">
        <v>412.2</v>
      </c>
      <c r="H431" s="5" t="n">
        <v>4.3</v>
      </c>
      <c r="I431" s="5" t="n">
        <v>27.9</v>
      </c>
      <c r="J431" s="5" t="n">
        <v>123.3</v>
      </c>
      <c r="K431" s="5" t="n">
        <v>11</v>
      </c>
    </row>
    <row r="432" customFormat="false" ht="15" hidden="false" customHeight="false" outlineLevel="0" collapsed="false">
      <c r="A432" s="5" t="n">
        <v>175</v>
      </c>
      <c r="B432" s="5" t="n">
        <v>5</v>
      </c>
      <c r="C432" s="5" t="n">
        <v>61.4</v>
      </c>
      <c r="D432" s="5" t="n">
        <v>87.8</v>
      </c>
      <c r="E432" s="5" t="n">
        <v>82.9</v>
      </c>
      <c r="F432" s="5" t="n">
        <v>0</v>
      </c>
      <c r="G432" s="5" t="n">
        <v>487.1</v>
      </c>
      <c r="H432" s="5" t="n">
        <v>5.1</v>
      </c>
      <c r="I432" s="5" t="n">
        <v>33</v>
      </c>
      <c r="J432" s="5" t="n">
        <v>181.9</v>
      </c>
      <c r="K432" s="5" t="n">
        <v>11</v>
      </c>
    </row>
    <row r="433" customFormat="false" ht="15" hidden="false" customHeight="false" outlineLevel="0" collapsed="false">
      <c r="A433" s="5" t="n">
        <v>180</v>
      </c>
      <c r="B433" s="5" t="n">
        <v>6</v>
      </c>
      <c r="C433" s="5" t="n">
        <v>69.8</v>
      </c>
      <c r="D433" s="5" t="n">
        <v>87.4</v>
      </c>
      <c r="E433" s="5" t="n">
        <v>82.8</v>
      </c>
      <c r="F433" s="5" t="n">
        <v>0</v>
      </c>
      <c r="G433" s="5" t="n">
        <v>559.4</v>
      </c>
      <c r="H433" s="5" t="n">
        <v>5.1</v>
      </c>
      <c r="I433" s="5" t="n">
        <v>38.1</v>
      </c>
      <c r="J433" s="5" t="n">
        <v>248.9</v>
      </c>
      <c r="K433" s="5" t="n">
        <v>11</v>
      </c>
    </row>
    <row r="434" customFormat="false" ht="15" hidden="false" customHeight="false" outlineLevel="0" collapsed="false">
      <c r="A434" s="5" t="n">
        <v>185</v>
      </c>
      <c r="B434" s="5" t="n">
        <v>7</v>
      </c>
      <c r="C434" s="5" t="n">
        <v>106.4</v>
      </c>
      <c r="D434" s="5" t="n">
        <v>88</v>
      </c>
      <c r="E434" s="5" t="n">
        <v>83.1</v>
      </c>
      <c r="F434" s="5" t="n">
        <v>0</v>
      </c>
      <c r="G434" s="5" t="n">
        <v>387.5</v>
      </c>
      <c r="H434" s="5" t="n">
        <v>3.3</v>
      </c>
      <c r="I434" s="5" t="n">
        <v>43</v>
      </c>
      <c r="J434" s="5" t="n">
        <v>211</v>
      </c>
      <c r="K434" s="5" t="n">
        <v>11</v>
      </c>
    </row>
    <row r="435" customFormat="false" ht="15" hidden="false" customHeight="false" outlineLevel="0" collapsed="false">
      <c r="A435" s="5" t="n">
        <v>190</v>
      </c>
      <c r="B435" s="5" t="n">
        <v>10</v>
      </c>
      <c r="C435" s="5" t="n">
        <v>89.2</v>
      </c>
      <c r="D435" s="5" t="n">
        <v>101.3</v>
      </c>
      <c r="E435" s="5" t="n">
        <v>86.1</v>
      </c>
      <c r="F435" s="5" t="n">
        <v>0</v>
      </c>
      <c r="G435" s="5" t="n">
        <v>746.9</v>
      </c>
      <c r="H435" s="5" t="n">
        <v>6.7</v>
      </c>
      <c r="I435" s="5" t="n">
        <v>50.5</v>
      </c>
      <c r="J435" s="5" t="n">
        <v>142.5</v>
      </c>
      <c r="K435" s="5" t="n">
        <v>11</v>
      </c>
    </row>
    <row r="436" customFormat="false" ht="15" hidden="false" customHeight="false" outlineLevel="0" collapsed="false">
      <c r="A436" s="5" t="n">
        <v>195</v>
      </c>
      <c r="B436" s="5" t="n">
        <v>10</v>
      </c>
      <c r="C436" s="5" t="n">
        <v>97.2</v>
      </c>
      <c r="D436" s="5" t="n">
        <v>100</v>
      </c>
      <c r="E436" s="5" t="n">
        <v>92.5</v>
      </c>
      <c r="F436" s="5" t="n">
        <v>0</v>
      </c>
      <c r="G436" s="5" t="n">
        <v>858.8</v>
      </c>
      <c r="H436" s="5" t="n">
        <v>7.1</v>
      </c>
      <c r="I436" s="5" t="n">
        <v>58.1</v>
      </c>
      <c r="J436" s="5" t="n">
        <v>226.7</v>
      </c>
      <c r="K436" s="5" t="n">
        <v>11</v>
      </c>
    </row>
    <row r="437" customFormat="false" ht="15" hidden="false" customHeight="false" outlineLevel="0" collapsed="false">
      <c r="A437" s="5" t="n">
        <v>200</v>
      </c>
      <c r="B437" s="5" t="n">
        <v>34</v>
      </c>
      <c r="C437" s="5" t="n">
        <v>93.8</v>
      </c>
      <c r="D437" s="5" t="n">
        <v>321.1</v>
      </c>
      <c r="E437" s="5" t="n">
        <v>153</v>
      </c>
      <c r="F437" s="5" t="n">
        <v>0</v>
      </c>
      <c r="G437" s="5" t="n">
        <v>923</v>
      </c>
      <c r="H437" s="5" t="n">
        <v>8</v>
      </c>
      <c r="I437" s="5" t="n">
        <v>62.3</v>
      </c>
      <c r="J437" s="5" t="n">
        <v>253.9</v>
      </c>
      <c r="K437" s="5" t="n">
        <v>11</v>
      </c>
    </row>
    <row r="438" customFormat="false" ht="15" hidden="false" customHeight="false" outlineLevel="0" collapsed="false">
      <c r="A438" s="5" t="n">
        <v>205</v>
      </c>
      <c r="B438" s="5" t="n">
        <v>63</v>
      </c>
      <c r="C438" s="5" t="n">
        <v>91.4</v>
      </c>
      <c r="D438" s="5" t="n">
        <v>702.7</v>
      </c>
      <c r="E438" s="5" t="n">
        <v>557.5</v>
      </c>
      <c r="F438" s="5" t="n">
        <v>0</v>
      </c>
      <c r="G438" s="5" t="n">
        <v>949.4</v>
      </c>
      <c r="H438" s="5" t="n">
        <v>8.9</v>
      </c>
      <c r="I438" s="5" t="n">
        <v>64.7</v>
      </c>
      <c r="J438" s="5" t="n">
        <v>111.6</v>
      </c>
      <c r="K438" s="5" t="n">
        <v>11</v>
      </c>
    </row>
    <row r="439" customFormat="false" ht="15" hidden="false" customHeight="false" outlineLevel="0" collapsed="false">
      <c r="A439" s="5" t="n">
        <v>210</v>
      </c>
      <c r="B439" s="5" t="n">
        <v>72</v>
      </c>
      <c r="C439" s="5" t="n">
        <v>96.8</v>
      </c>
      <c r="D439" s="5" t="n">
        <v>772.1</v>
      </c>
      <c r="E439" s="5" t="n">
        <v>701.8</v>
      </c>
      <c r="F439" s="5" t="n">
        <v>0</v>
      </c>
      <c r="G439" s="5" t="n">
        <v>945.5</v>
      </c>
      <c r="H439" s="5" t="n">
        <v>8.7</v>
      </c>
      <c r="I439" s="5" t="n">
        <v>64.4</v>
      </c>
      <c r="J439" s="5" t="n">
        <v>208.8</v>
      </c>
      <c r="K439" s="5" t="n">
        <v>11</v>
      </c>
    </row>
    <row r="440" customFormat="false" ht="15" hidden="false" customHeight="false" outlineLevel="0" collapsed="false">
      <c r="A440" s="5" t="n">
        <v>215</v>
      </c>
      <c r="B440" s="5" t="n">
        <v>100</v>
      </c>
      <c r="C440" s="5" t="n">
        <v>102.4</v>
      </c>
      <c r="D440" s="5" t="n">
        <v>1046.7</v>
      </c>
      <c r="E440" s="5" t="n">
        <v>829.9</v>
      </c>
      <c r="F440" s="5" t="n">
        <v>0</v>
      </c>
      <c r="G440" s="5" t="n">
        <v>578.9</v>
      </c>
      <c r="H440" s="5" t="n">
        <v>5.4</v>
      </c>
      <c r="I440" s="5" t="n">
        <v>64.3</v>
      </c>
      <c r="J440" s="5" t="n">
        <v>242.4</v>
      </c>
      <c r="K440" s="5" t="n">
        <v>11</v>
      </c>
    </row>
    <row r="441" customFormat="false" ht="15" hidden="false" customHeight="false" outlineLevel="0" collapsed="false">
      <c r="A441" s="5" t="n">
        <v>220</v>
      </c>
      <c r="B441" s="5" t="n">
        <v>103</v>
      </c>
      <c r="C441" s="5" t="n">
        <v>119.8</v>
      </c>
      <c r="D441" s="5" t="n">
        <v>1061.9</v>
      </c>
      <c r="E441" s="5" t="n">
        <v>933.8</v>
      </c>
      <c r="F441" s="5" t="n">
        <v>0</v>
      </c>
      <c r="G441" s="5" t="n">
        <v>948.6</v>
      </c>
      <c r="H441" s="5" t="n">
        <v>8.3</v>
      </c>
      <c r="I441" s="5" t="n">
        <v>64.2</v>
      </c>
      <c r="J441" s="5" t="n">
        <v>170.1</v>
      </c>
      <c r="K441" s="5" t="n">
        <v>11</v>
      </c>
    </row>
    <row r="442" customFormat="false" ht="15" hidden="false" customHeight="false" outlineLevel="0" collapsed="false">
      <c r="A442" s="5" t="n">
        <v>225</v>
      </c>
      <c r="B442" s="5" t="n">
        <v>92</v>
      </c>
      <c r="C442" s="5" t="n">
        <v>63.6</v>
      </c>
      <c r="D442" s="5" t="n">
        <v>921.5</v>
      </c>
      <c r="E442" s="5" t="n">
        <v>861</v>
      </c>
      <c r="F442" s="5" t="n">
        <v>0</v>
      </c>
      <c r="G442" s="5" t="n">
        <v>668.8</v>
      </c>
      <c r="H442" s="5" t="n">
        <v>5.9</v>
      </c>
      <c r="I442" s="5" t="n">
        <v>45.2</v>
      </c>
      <c r="J442" s="5" t="n">
        <v>249</v>
      </c>
      <c r="K442" s="5" t="n">
        <v>11</v>
      </c>
    </row>
    <row r="445" customFormat="false" ht="15" hidden="false" customHeight="false" outlineLevel="0" collapsed="false">
      <c r="A445" s="3" t="s">
        <v>39</v>
      </c>
    </row>
    <row r="446" customFormat="false" ht="30" hidden="false" customHeight="true" outlineLevel="0" collapsed="false">
      <c r="A446" s="4" t="s">
        <v>831</v>
      </c>
      <c r="B446" s="4" t="s">
        <v>832</v>
      </c>
      <c r="C446" s="4" t="s">
        <v>833</v>
      </c>
      <c r="D446" s="4" t="s">
        <v>29</v>
      </c>
      <c r="E446" s="4" t="s">
        <v>655</v>
      </c>
      <c r="F446" s="4" t="s">
        <v>534</v>
      </c>
      <c r="G446" s="4" t="s">
        <v>821</v>
      </c>
      <c r="H446" s="4" t="s">
        <v>834</v>
      </c>
      <c r="I446" s="4" t="s">
        <v>835</v>
      </c>
      <c r="J446" s="4" t="s">
        <v>836</v>
      </c>
      <c r="K446" s="4" t="s">
        <v>837</v>
      </c>
    </row>
    <row r="447" customFormat="false" ht="15" hidden="false" customHeight="false" outlineLevel="0" collapsed="false">
      <c r="A447" s="5" t="n">
        <v>0</v>
      </c>
      <c r="B447" s="5" t="n">
        <v>60</v>
      </c>
      <c r="C447" s="5" t="n">
        <v>39.6</v>
      </c>
      <c r="D447" s="5" t="n">
        <v>237.7</v>
      </c>
      <c r="E447" s="5" t="n">
        <v>82.9</v>
      </c>
      <c r="F447" s="5" t="n">
        <v>0</v>
      </c>
      <c r="G447" s="5" t="n">
        <v>38</v>
      </c>
      <c r="H447" s="5" t="n">
        <v>24.1</v>
      </c>
      <c r="I447" s="5" t="n">
        <v>5.2</v>
      </c>
      <c r="J447" s="5" t="n">
        <v>118.7</v>
      </c>
      <c r="K447" s="5" t="n">
        <v>11</v>
      </c>
    </row>
    <row r="448" customFormat="false" ht="15" hidden="false" customHeight="false" outlineLevel="0" collapsed="false">
      <c r="A448" s="5" t="n">
        <v>5</v>
      </c>
      <c r="B448" s="5" t="n">
        <v>59</v>
      </c>
      <c r="C448" s="5" t="n">
        <v>32</v>
      </c>
      <c r="D448" s="5" t="n">
        <v>20.4</v>
      </c>
      <c r="E448" s="5" t="n">
        <v>10.4</v>
      </c>
      <c r="F448" s="5" t="n">
        <v>0</v>
      </c>
      <c r="G448" s="5" t="n">
        <v>19.8</v>
      </c>
      <c r="H448" s="5" t="n">
        <v>12</v>
      </c>
      <c r="I448" s="5" t="n">
        <v>2.8</v>
      </c>
      <c r="J448" s="5" t="n">
        <v>242.7</v>
      </c>
      <c r="K448" s="5" t="n">
        <v>11</v>
      </c>
    </row>
    <row r="449" customFormat="false" ht="15" hidden="false" customHeight="false" outlineLevel="0" collapsed="false">
      <c r="A449" s="5" t="n">
        <v>10</v>
      </c>
      <c r="B449" s="5" t="n">
        <v>58</v>
      </c>
      <c r="C449" s="5" t="n">
        <v>23.8</v>
      </c>
      <c r="D449" s="5" t="n">
        <v>25.4</v>
      </c>
      <c r="E449" s="5" t="n">
        <v>14</v>
      </c>
      <c r="F449" s="5" t="n">
        <v>0</v>
      </c>
      <c r="G449" s="5" t="n">
        <v>16.1</v>
      </c>
      <c r="H449" s="5" t="n">
        <v>9.4</v>
      </c>
      <c r="I449" s="5" t="n">
        <v>2.5</v>
      </c>
      <c r="J449" s="5" t="n">
        <v>205.2</v>
      </c>
      <c r="K449" s="5" t="n">
        <v>11</v>
      </c>
    </row>
    <row r="450" customFormat="false" ht="15" hidden="false" customHeight="false" outlineLevel="0" collapsed="false">
      <c r="A450" s="5" t="n">
        <v>15</v>
      </c>
      <c r="B450" s="5" t="n">
        <v>56</v>
      </c>
      <c r="C450" s="5" t="n">
        <v>33</v>
      </c>
      <c r="D450" s="5" t="n">
        <v>39.9</v>
      </c>
      <c r="E450" s="5" t="n">
        <v>16.2</v>
      </c>
      <c r="F450" s="5" t="n">
        <v>0</v>
      </c>
      <c r="G450" s="5" t="n">
        <v>21.3</v>
      </c>
      <c r="H450" s="5" t="n">
        <v>11.8</v>
      </c>
      <c r="I450" s="5" t="n">
        <v>2.8</v>
      </c>
      <c r="J450" s="5" t="n">
        <v>239.4</v>
      </c>
      <c r="K450" s="5" t="n">
        <v>11</v>
      </c>
    </row>
    <row r="451" customFormat="false" ht="15" hidden="false" customHeight="false" outlineLevel="0" collapsed="false">
      <c r="A451" s="5" t="n">
        <v>20</v>
      </c>
      <c r="B451" s="5" t="n">
        <v>55</v>
      </c>
      <c r="C451" s="5" t="n">
        <v>21.8</v>
      </c>
      <c r="D451" s="5" t="n">
        <v>41.1</v>
      </c>
      <c r="E451" s="5" t="n">
        <v>18.1</v>
      </c>
      <c r="F451" s="5" t="n">
        <v>0</v>
      </c>
      <c r="G451" s="5" t="n">
        <v>21.6</v>
      </c>
      <c r="H451" s="5" t="n">
        <v>12.8</v>
      </c>
      <c r="I451" s="5" t="n">
        <v>2.8</v>
      </c>
      <c r="J451" s="5" t="n">
        <v>140.1</v>
      </c>
      <c r="K451" s="5" t="n">
        <v>11</v>
      </c>
    </row>
    <row r="452" customFormat="false" ht="15" hidden="false" customHeight="false" outlineLevel="0" collapsed="false">
      <c r="A452" s="5" t="n">
        <v>25</v>
      </c>
      <c r="B452" s="5" t="n">
        <v>53</v>
      </c>
      <c r="C452" s="5" t="n">
        <v>31.8</v>
      </c>
      <c r="D452" s="5" t="n">
        <v>22.4</v>
      </c>
      <c r="E452" s="5" t="n">
        <v>12.1</v>
      </c>
      <c r="F452" s="5" t="n">
        <v>0</v>
      </c>
      <c r="G452" s="5" t="n">
        <v>12.8</v>
      </c>
      <c r="H452" s="5" t="n">
        <v>8.6</v>
      </c>
      <c r="I452" s="5" t="n">
        <v>2.1</v>
      </c>
      <c r="J452" s="5" t="n">
        <v>213.7</v>
      </c>
      <c r="K452" s="5" t="n">
        <v>11</v>
      </c>
    </row>
    <row r="453" customFormat="false" ht="15" hidden="false" customHeight="false" outlineLevel="0" collapsed="false">
      <c r="A453" s="5" t="n">
        <v>30</v>
      </c>
      <c r="B453" s="5" t="n">
        <v>52</v>
      </c>
      <c r="C453" s="5" t="n">
        <v>20.6</v>
      </c>
      <c r="D453" s="5" t="n">
        <v>15.4</v>
      </c>
      <c r="E453" s="5" t="n">
        <v>10.5</v>
      </c>
      <c r="F453" s="5" t="n">
        <v>0</v>
      </c>
      <c r="G453" s="5" t="n">
        <v>17.5</v>
      </c>
      <c r="H453" s="5" t="n">
        <v>10.6</v>
      </c>
      <c r="I453" s="5" t="n">
        <v>2.4</v>
      </c>
      <c r="J453" s="5" t="n">
        <v>214</v>
      </c>
      <c r="K453" s="5" t="n">
        <v>11</v>
      </c>
    </row>
    <row r="454" customFormat="false" ht="15" hidden="false" customHeight="false" outlineLevel="0" collapsed="false">
      <c r="A454" s="5" t="n">
        <v>35</v>
      </c>
      <c r="B454" s="5" t="n">
        <v>50</v>
      </c>
      <c r="C454" s="5" t="n">
        <v>29.8</v>
      </c>
      <c r="D454" s="5" t="n">
        <v>19.2</v>
      </c>
      <c r="E454" s="5" t="n">
        <v>10.7</v>
      </c>
      <c r="F454" s="5" t="n">
        <v>0</v>
      </c>
      <c r="G454" s="5" t="n">
        <v>10.4</v>
      </c>
      <c r="H454" s="5" t="n">
        <v>7.5</v>
      </c>
      <c r="I454" s="5" t="n">
        <v>1.9</v>
      </c>
      <c r="J454" s="5" t="n">
        <v>162.5</v>
      </c>
      <c r="K454" s="5" t="n">
        <v>11</v>
      </c>
    </row>
    <row r="455" customFormat="false" ht="15" hidden="false" customHeight="false" outlineLevel="0" collapsed="false">
      <c r="A455" s="5" t="n">
        <v>40</v>
      </c>
      <c r="B455" s="5" t="n">
        <v>49</v>
      </c>
      <c r="C455" s="5" t="n">
        <v>19.4</v>
      </c>
      <c r="D455" s="5" t="n">
        <v>26.8</v>
      </c>
      <c r="E455" s="5" t="n">
        <v>15.2</v>
      </c>
      <c r="F455" s="5" t="n">
        <v>0</v>
      </c>
      <c r="G455" s="5" t="n">
        <v>18.1</v>
      </c>
      <c r="H455" s="5" t="n">
        <v>11.2</v>
      </c>
      <c r="I455" s="5" t="n">
        <v>2.3</v>
      </c>
      <c r="J455" s="5" t="n">
        <v>273.9</v>
      </c>
      <c r="K455" s="5" t="n">
        <v>11</v>
      </c>
    </row>
    <row r="456" customFormat="false" ht="15" hidden="false" customHeight="false" outlineLevel="0" collapsed="false">
      <c r="A456" s="5" t="n">
        <v>45</v>
      </c>
      <c r="B456" s="5" t="n">
        <v>47</v>
      </c>
      <c r="C456" s="5" t="n">
        <v>28</v>
      </c>
      <c r="D456" s="5" t="n">
        <v>34.8</v>
      </c>
      <c r="E456" s="5" t="n">
        <v>15.8</v>
      </c>
      <c r="F456" s="5" t="n">
        <v>0</v>
      </c>
      <c r="G456" s="5" t="n">
        <v>13.3</v>
      </c>
      <c r="H456" s="5" t="n">
        <v>8.6</v>
      </c>
      <c r="I456" s="5" t="n">
        <v>2.2</v>
      </c>
      <c r="J456" s="5" t="n">
        <v>83.3</v>
      </c>
      <c r="K456" s="5" t="n">
        <v>11</v>
      </c>
    </row>
    <row r="457" customFormat="false" ht="15" hidden="false" customHeight="false" outlineLevel="0" collapsed="false">
      <c r="A457" s="5" t="n">
        <v>50</v>
      </c>
      <c r="B457" s="5" t="n">
        <v>45</v>
      </c>
      <c r="C457" s="5" t="n">
        <v>18</v>
      </c>
      <c r="D457" s="5" t="n">
        <v>19.8</v>
      </c>
      <c r="E457" s="5" t="n">
        <v>11.7</v>
      </c>
      <c r="F457" s="5" t="n">
        <v>0</v>
      </c>
      <c r="G457" s="5" t="n">
        <v>10</v>
      </c>
      <c r="H457" s="5" t="n">
        <v>6.9</v>
      </c>
      <c r="I457" s="5" t="n">
        <v>1.5</v>
      </c>
      <c r="J457" s="5" t="n">
        <v>184</v>
      </c>
      <c r="K457" s="5" t="n">
        <v>11</v>
      </c>
    </row>
    <row r="458" customFormat="false" ht="15" hidden="false" customHeight="false" outlineLevel="0" collapsed="false">
      <c r="A458" s="5" t="n">
        <v>55</v>
      </c>
      <c r="B458" s="5" t="n">
        <v>44</v>
      </c>
      <c r="C458" s="5" t="n">
        <v>26.2</v>
      </c>
      <c r="D458" s="5" t="n">
        <v>22.4</v>
      </c>
      <c r="E458" s="5" t="n">
        <v>14.1</v>
      </c>
      <c r="F458" s="5" t="n">
        <v>0</v>
      </c>
      <c r="G458" s="5" t="n">
        <v>16.9</v>
      </c>
      <c r="H458" s="5" t="n">
        <v>9.8</v>
      </c>
      <c r="I458" s="5" t="n">
        <v>2.5</v>
      </c>
      <c r="J458" s="5" t="n">
        <v>285.2</v>
      </c>
      <c r="K458" s="5" t="n">
        <v>11</v>
      </c>
    </row>
    <row r="459" customFormat="false" ht="15" hidden="false" customHeight="false" outlineLevel="0" collapsed="false">
      <c r="A459" s="5" t="n">
        <v>60</v>
      </c>
      <c r="B459" s="5" t="n">
        <v>42</v>
      </c>
      <c r="C459" s="5" t="n">
        <v>16.8</v>
      </c>
      <c r="D459" s="5" t="n">
        <v>17.2</v>
      </c>
      <c r="E459" s="5" t="n">
        <v>11.5</v>
      </c>
      <c r="F459" s="5" t="n">
        <v>0</v>
      </c>
      <c r="G459" s="5" t="n">
        <v>9.2</v>
      </c>
      <c r="H459" s="5" t="n">
        <v>6.5</v>
      </c>
      <c r="I459" s="5" t="n">
        <v>1.7</v>
      </c>
      <c r="J459" s="5" t="n">
        <v>97.7</v>
      </c>
      <c r="K459" s="5" t="n">
        <v>11</v>
      </c>
    </row>
    <row r="460" customFormat="false" ht="15" hidden="false" customHeight="false" outlineLevel="0" collapsed="false">
      <c r="A460" s="5" t="n">
        <v>65</v>
      </c>
      <c r="B460" s="5" t="n">
        <v>40</v>
      </c>
      <c r="C460" s="5" t="n">
        <v>24.2</v>
      </c>
      <c r="D460" s="5" t="n">
        <v>13.4</v>
      </c>
      <c r="E460" s="5" t="n">
        <v>10.1</v>
      </c>
      <c r="F460" s="5" t="n">
        <v>0</v>
      </c>
      <c r="G460" s="5" t="n">
        <v>13.7</v>
      </c>
      <c r="H460" s="5" t="n">
        <v>8.6</v>
      </c>
      <c r="I460" s="5" t="n">
        <v>2.1</v>
      </c>
      <c r="J460" s="5" t="n">
        <v>192.7</v>
      </c>
      <c r="K460" s="5" t="n">
        <v>11</v>
      </c>
    </row>
    <row r="461" customFormat="false" ht="15" hidden="false" customHeight="false" outlineLevel="0" collapsed="false">
      <c r="A461" s="5" t="n">
        <v>70</v>
      </c>
      <c r="B461" s="5" t="n">
        <v>39</v>
      </c>
      <c r="C461" s="5" t="n">
        <v>15.6</v>
      </c>
      <c r="D461" s="5" t="n">
        <v>16.6</v>
      </c>
      <c r="E461" s="5" t="n">
        <v>10.5</v>
      </c>
      <c r="F461" s="5" t="n">
        <v>0</v>
      </c>
      <c r="G461" s="5" t="n">
        <v>10.3</v>
      </c>
      <c r="H461" s="5" t="n">
        <v>6.5</v>
      </c>
      <c r="I461" s="5" t="n">
        <v>1.6</v>
      </c>
      <c r="J461" s="5" t="n">
        <v>290.7</v>
      </c>
      <c r="K461" s="5" t="n">
        <v>11</v>
      </c>
    </row>
    <row r="462" customFormat="false" ht="15" hidden="false" customHeight="false" outlineLevel="0" collapsed="false">
      <c r="A462" s="5" t="n">
        <v>75</v>
      </c>
      <c r="B462" s="5" t="n">
        <v>37</v>
      </c>
      <c r="C462" s="5" t="n">
        <v>22.4</v>
      </c>
      <c r="D462" s="5" t="n">
        <v>10</v>
      </c>
      <c r="E462" s="5" t="n">
        <v>8.2</v>
      </c>
      <c r="F462" s="5" t="n">
        <v>0</v>
      </c>
      <c r="G462" s="5" t="n">
        <v>12.6</v>
      </c>
      <c r="H462" s="5" t="n">
        <v>8.1</v>
      </c>
      <c r="I462" s="5" t="n">
        <v>1.8</v>
      </c>
      <c r="J462" s="5" t="n">
        <v>106.4</v>
      </c>
      <c r="K462" s="5" t="n">
        <v>11</v>
      </c>
    </row>
    <row r="463" customFormat="false" ht="15" hidden="false" customHeight="false" outlineLevel="0" collapsed="false">
      <c r="A463" s="5" t="n">
        <v>80</v>
      </c>
      <c r="B463" s="5" t="n">
        <v>36</v>
      </c>
      <c r="C463" s="5" t="n">
        <v>14.2</v>
      </c>
      <c r="D463" s="5" t="n">
        <v>18.7</v>
      </c>
      <c r="E463" s="5" t="n">
        <v>11.2</v>
      </c>
      <c r="F463" s="5" t="n">
        <v>0</v>
      </c>
      <c r="G463" s="5" t="n">
        <v>8.5</v>
      </c>
      <c r="H463" s="5" t="n">
        <v>5.5</v>
      </c>
      <c r="I463" s="5" t="n">
        <v>1.4</v>
      </c>
      <c r="J463" s="5" t="n">
        <v>190.8</v>
      </c>
      <c r="K463" s="5" t="n">
        <v>11</v>
      </c>
    </row>
    <row r="464" customFormat="false" ht="15" hidden="false" customHeight="false" outlineLevel="0" collapsed="false">
      <c r="A464" s="5" t="n">
        <v>85</v>
      </c>
      <c r="B464" s="5" t="n">
        <v>35</v>
      </c>
      <c r="C464" s="5" t="n">
        <v>20.4</v>
      </c>
      <c r="D464" s="5" t="n">
        <v>10.9</v>
      </c>
      <c r="E464" s="5" t="n">
        <v>8</v>
      </c>
      <c r="F464" s="5" t="n">
        <v>0</v>
      </c>
      <c r="G464" s="5" t="n">
        <v>10.3</v>
      </c>
      <c r="H464" s="5" t="n">
        <v>7.1</v>
      </c>
      <c r="I464" s="5" t="n">
        <v>1.4</v>
      </c>
      <c r="J464" s="5" t="n">
        <v>276.2</v>
      </c>
      <c r="K464" s="5" t="n">
        <v>11</v>
      </c>
    </row>
    <row r="465" customFormat="false" ht="15" hidden="false" customHeight="false" outlineLevel="0" collapsed="false">
      <c r="A465" s="5" t="n">
        <v>90</v>
      </c>
      <c r="B465" s="5" t="n">
        <v>33</v>
      </c>
      <c r="C465" s="5" t="n">
        <v>13</v>
      </c>
      <c r="D465" s="5" t="n">
        <v>13.5</v>
      </c>
      <c r="E465" s="5" t="n">
        <v>8.8</v>
      </c>
      <c r="F465" s="5" t="n">
        <v>0</v>
      </c>
      <c r="G465" s="5" t="n">
        <v>7.9</v>
      </c>
      <c r="H465" s="5" t="n">
        <v>5.5</v>
      </c>
      <c r="I465" s="5" t="n">
        <v>1.5</v>
      </c>
      <c r="J465" s="5" t="n">
        <v>117.3</v>
      </c>
      <c r="K465" s="5" t="n">
        <v>11</v>
      </c>
    </row>
    <row r="466" customFormat="false" ht="15" hidden="false" customHeight="false" outlineLevel="0" collapsed="false">
      <c r="A466" s="5" t="n">
        <v>95</v>
      </c>
      <c r="B466" s="5" t="n">
        <v>32</v>
      </c>
      <c r="C466" s="5" t="n">
        <v>18.6</v>
      </c>
      <c r="D466" s="5" t="n">
        <v>11.4</v>
      </c>
      <c r="E466" s="5" t="n">
        <v>8.8</v>
      </c>
      <c r="F466" s="5" t="n">
        <v>0</v>
      </c>
      <c r="G466" s="5" t="n">
        <v>10.2</v>
      </c>
      <c r="H466" s="5" t="n">
        <v>7.3</v>
      </c>
      <c r="I466" s="5" t="n">
        <v>1.7</v>
      </c>
      <c r="J466" s="5" t="n">
        <v>138.8</v>
      </c>
      <c r="K466" s="5" t="n">
        <v>11</v>
      </c>
    </row>
    <row r="467" customFormat="false" ht="15" hidden="false" customHeight="false" outlineLevel="0" collapsed="false">
      <c r="A467" s="5" t="n">
        <v>100</v>
      </c>
      <c r="B467" s="5" t="n">
        <v>30</v>
      </c>
      <c r="C467" s="5" t="n">
        <v>11.8</v>
      </c>
      <c r="D467" s="5" t="n">
        <v>11.4</v>
      </c>
      <c r="E467" s="5" t="n">
        <v>9</v>
      </c>
      <c r="F467" s="5" t="n">
        <v>0</v>
      </c>
      <c r="G467" s="5" t="n">
        <v>8.3</v>
      </c>
      <c r="H467" s="5" t="n">
        <v>6.1</v>
      </c>
      <c r="I467" s="5" t="n">
        <v>1.4</v>
      </c>
      <c r="J467" s="5" t="n">
        <v>207.6</v>
      </c>
      <c r="K467" s="5" t="n">
        <v>11</v>
      </c>
    </row>
    <row r="468" customFormat="false" ht="15" hidden="false" customHeight="false" outlineLevel="0" collapsed="false">
      <c r="A468" s="5" t="n">
        <v>105</v>
      </c>
      <c r="B468" s="5" t="n">
        <v>28</v>
      </c>
      <c r="C468" s="5" t="n">
        <v>16.6</v>
      </c>
      <c r="D468" s="5" t="n">
        <v>15.8</v>
      </c>
      <c r="E468" s="5" t="n">
        <v>10.6</v>
      </c>
      <c r="F468" s="5" t="n">
        <v>0</v>
      </c>
      <c r="G468" s="5" t="n">
        <v>10.1</v>
      </c>
      <c r="H468" s="5" t="n">
        <v>6.9</v>
      </c>
      <c r="I468" s="5" t="n">
        <v>2</v>
      </c>
      <c r="J468" s="5" t="n">
        <v>270.1</v>
      </c>
      <c r="K468" s="5" t="n">
        <v>11</v>
      </c>
    </row>
    <row r="469" customFormat="false" ht="15" hidden="false" customHeight="false" outlineLevel="0" collapsed="false">
      <c r="A469" s="5" t="n">
        <v>110</v>
      </c>
      <c r="B469" s="5" t="n">
        <v>27</v>
      </c>
      <c r="C469" s="5" t="n">
        <v>10.6</v>
      </c>
      <c r="D469" s="5" t="n">
        <v>17.8</v>
      </c>
      <c r="E469" s="5" t="n">
        <v>12.8</v>
      </c>
      <c r="F469" s="5" t="n">
        <v>0</v>
      </c>
      <c r="G469" s="5" t="n">
        <v>6.9</v>
      </c>
      <c r="H469" s="5" t="n">
        <v>5.5</v>
      </c>
      <c r="I469" s="5" t="n">
        <v>1.2</v>
      </c>
      <c r="J469" s="5" t="n">
        <v>270.7</v>
      </c>
      <c r="K469" s="5" t="n">
        <v>11</v>
      </c>
    </row>
    <row r="470" customFormat="false" ht="15" hidden="false" customHeight="false" outlineLevel="0" collapsed="false">
      <c r="A470" s="5" t="n">
        <v>115</v>
      </c>
      <c r="B470" s="5" t="n">
        <v>25</v>
      </c>
      <c r="C470" s="5" t="n">
        <v>14.8</v>
      </c>
      <c r="D470" s="5" t="n">
        <v>23</v>
      </c>
      <c r="E470" s="5" t="n">
        <v>15.1</v>
      </c>
      <c r="F470" s="5" t="n">
        <v>0</v>
      </c>
      <c r="G470" s="5" t="n">
        <v>8.3</v>
      </c>
      <c r="H470" s="5" t="n">
        <v>6.3</v>
      </c>
      <c r="I470" s="5" t="n">
        <v>1.6</v>
      </c>
      <c r="J470" s="5" t="n">
        <v>95</v>
      </c>
      <c r="K470" s="5" t="n">
        <v>11</v>
      </c>
    </row>
    <row r="471" customFormat="false" ht="15" hidden="false" customHeight="false" outlineLevel="0" collapsed="false">
      <c r="A471" s="5" t="n">
        <v>120</v>
      </c>
      <c r="B471" s="5" t="n">
        <v>23</v>
      </c>
      <c r="C471" s="5" t="n">
        <v>9.4</v>
      </c>
      <c r="D471" s="5" t="n">
        <v>14.9</v>
      </c>
      <c r="E471" s="5" t="n">
        <v>11.4</v>
      </c>
      <c r="F471" s="5" t="n">
        <v>0</v>
      </c>
      <c r="G471" s="5" t="n">
        <v>212.5</v>
      </c>
      <c r="H471" s="5" t="n">
        <v>157.7</v>
      </c>
      <c r="I471" s="5" t="n">
        <v>1.8</v>
      </c>
      <c r="J471" s="5" t="n">
        <v>161</v>
      </c>
      <c r="K471" s="5" t="n">
        <v>11</v>
      </c>
    </row>
    <row r="472" customFormat="false" ht="15" hidden="false" customHeight="false" outlineLevel="0" collapsed="false">
      <c r="A472" s="5" t="n">
        <v>125</v>
      </c>
      <c r="B472" s="5" t="n">
        <v>22</v>
      </c>
      <c r="C472" s="5" t="n">
        <v>12.6</v>
      </c>
      <c r="D472" s="5" t="n">
        <v>17.3</v>
      </c>
      <c r="E472" s="5" t="n">
        <v>12.1</v>
      </c>
      <c r="F472" s="5" t="n">
        <v>0</v>
      </c>
      <c r="G472" s="5" t="n">
        <v>5.1</v>
      </c>
      <c r="H472" s="5" t="n">
        <v>4.9</v>
      </c>
      <c r="I472" s="5" t="n">
        <v>1</v>
      </c>
      <c r="J472" s="5" t="n">
        <v>220.8</v>
      </c>
      <c r="K472" s="5" t="n">
        <v>11</v>
      </c>
    </row>
    <row r="473" customFormat="false" ht="15" hidden="false" customHeight="false" outlineLevel="0" collapsed="false">
      <c r="A473" s="5" t="n">
        <v>130</v>
      </c>
      <c r="B473" s="5" t="n">
        <v>20</v>
      </c>
      <c r="C473" s="5" t="n">
        <v>11.8</v>
      </c>
      <c r="D473" s="5" t="n">
        <v>18.1</v>
      </c>
      <c r="E473" s="5" t="n">
        <v>11.7</v>
      </c>
      <c r="F473" s="5" t="n">
        <v>0</v>
      </c>
      <c r="G473" s="5" t="n">
        <v>6.7</v>
      </c>
      <c r="H473" s="5" t="n">
        <v>5.5</v>
      </c>
      <c r="I473" s="5" t="n">
        <v>1.5</v>
      </c>
      <c r="J473" s="5" t="n">
        <v>268</v>
      </c>
      <c r="K473" s="5" t="n">
        <v>11</v>
      </c>
    </row>
    <row r="474" customFormat="false" ht="15" hidden="false" customHeight="false" outlineLevel="0" collapsed="false">
      <c r="A474" s="5" t="n">
        <v>135</v>
      </c>
      <c r="B474" s="5" t="n">
        <v>18</v>
      </c>
      <c r="C474" s="5" t="n">
        <v>7.2</v>
      </c>
      <c r="D474" s="5" t="n">
        <v>21.8</v>
      </c>
      <c r="E474" s="5" t="n">
        <v>15.7</v>
      </c>
      <c r="F474" s="5" t="n">
        <v>0</v>
      </c>
      <c r="G474" s="5" t="n">
        <v>4.3</v>
      </c>
      <c r="H474" s="5" t="n">
        <v>3.7</v>
      </c>
      <c r="I474" s="5" t="n">
        <v>1</v>
      </c>
      <c r="J474" s="5" t="n">
        <v>322.4</v>
      </c>
      <c r="K474" s="5" t="n">
        <v>11</v>
      </c>
    </row>
    <row r="475" customFormat="false" ht="15" hidden="false" customHeight="false" outlineLevel="0" collapsed="false">
      <c r="A475" s="5" t="n">
        <v>140</v>
      </c>
      <c r="B475" s="5" t="n">
        <v>17</v>
      </c>
      <c r="C475" s="5" t="n">
        <v>7.6</v>
      </c>
      <c r="D475" s="5" t="n">
        <v>31.6</v>
      </c>
      <c r="E475" s="5" t="n">
        <v>23.7</v>
      </c>
      <c r="F475" s="5" t="n">
        <v>0</v>
      </c>
      <c r="G475" s="5" t="n">
        <v>7.2</v>
      </c>
      <c r="H475" s="5" t="n">
        <v>5.3</v>
      </c>
      <c r="I475" s="5" t="n">
        <v>1.4</v>
      </c>
      <c r="J475" s="5" t="n">
        <v>72.2</v>
      </c>
      <c r="K475" s="5" t="n">
        <v>11</v>
      </c>
    </row>
    <row r="476" customFormat="false" ht="15" hidden="false" customHeight="false" outlineLevel="0" collapsed="false">
      <c r="A476" s="5" t="n">
        <v>145</v>
      </c>
      <c r="B476" s="5" t="n">
        <v>15</v>
      </c>
      <c r="C476" s="5" t="n">
        <v>8.2</v>
      </c>
      <c r="D476" s="5" t="n">
        <v>30.8</v>
      </c>
      <c r="E476" s="5" t="n">
        <v>20.2</v>
      </c>
      <c r="F476" s="5" t="n">
        <v>0</v>
      </c>
      <c r="G476" s="5" t="n">
        <v>4.5</v>
      </c>
      <c r="H476" s="5" t="n">
        <v>4.1</v>
      </c>
      <c r="I476" s="5" t="n">
        <v>1.2</v>
      </c>
      <c r="J476" s="5" t="n">
        <v>109</v>
      </c>
      <c r="K476" s="5" t="n">
        <v>11</v>
      </c>
    </row>
    <row r="477" customFormat="false" ht="15" hidden="false" customHeight="false" outlineLevel="0" collapsed="false">
      <c r="A477" s="5" t="n">
        <v>150</v>
      </c>
      <c r="B477" s="5" t="n">
        <v>14</v>
      </c>
      <c r="C477" s="5" t="n">
        <v>5.4</v>
      </c>
      <c r="D477" s="5" t="n">
        <v>18.4</v>
      </c>
      <c r="E477" s="5" t="n">
        <v>14.2</v>
      </c>
      <c r="F477" s="5" t="n">
        <v>0</v>
      </c>
      <c r="G477" s="5" t="n">
        <v>4.7</v>
      </c>
      <c r="H477" s="5" t="n">
        <v>4.5</v>
      </c>
      <c r="I477" s="5" t="n">
        <v>1</v>
      </c>
      <c r="J477" s="5" t="n">
        <v>145.6</v>
      </c>
      <c r="K477" s="5" t="n">
        <v>11</v>
      </c>
    </row>
    <row r="478" customFormat="false" ht="15" hidden="false" customHeight="false" outlineLevel="0" collapsed="false">
      <c r="A478" s="5" t="n">
        <v>155</v>
      </c>
      <c r="B478" s="5" t="n">
        <v>12</v>
      </c>
      <c r="C478" s="5" t="n">
        <v>9.4</v>
      </c>
      <c r="D478" s="5" t="n">
        <v>18.2</v>
      </c>
      <c r="E478" s="5" t="n">
        <v>12</v>
      </c>
      <c r="F478" s="5" t="n">
        <v>0</v>
      </c>
      <c r="G478" s="5" t="n">
        <v>-0.9</v>
      </c>
      <c r="H478" s="5" t="n">
        <v>0.4</v>
      </c>
      <c r="I478" s="5" t="n">
        <v>1</v>
      </c>
      <c r="J478" s="5" t="n">
        <v>178.2</v>
      </c>
      <c r="K478" s="5" t="n">
        <v>11</v>
      </c>
    </row>
    <row r="479" customFormat="false" ht="15" hidden="false" customHeight="false" outlineLevel="0" collapsed="false">
      <c r="A479" s="5" t="n">
        <v>160</v>
      </c>
      <c r="B479" s="5" t="n">
        <v>10</v>
      </c>
      <c r="C479" s="5" t="n">
        <v>3.8</v>
      </c>
      <c r="D479" s="5" t="n">
        <v>13.2</v>
      </c>
      <c r="E479" s="5" t="n">
        <v>9.8</v>
      </c>
      <c r="F479" s="5" t="n">
        <v>0</v>
      </c>
      <c r="G479" s="5" t="n">
        <v>2.8</v>
      </c>
      <c r="H479" s="5" t="n">
        <v>3.4</v>
      </c>
      <c r="I479" s="5" t="n">
        <v>1.2</v>
      </c>
      <c r="J479" s="5" t="n">
        <v>206.6</v>
      </c>
      <c r="K479" s="5" t="n">
        <v>11</v>
      </c>
    </row>
    <row r="480" customFormat="false" ht="15" hidden="false" customHeight="false" outlineLevel="0" collapsed="false">
      <c r="A480" s="5" t="n">
        <v>165</v>
      </c>
      <c r="B480" s="5" t="n">
        <v>9</v>
      </c>
      <c r="C480" s="5" t="n">
        <v>5</v>
      </c>
      <c r="D480" s="5" t="n">
        <v>11.8</v>
      </c>
      <c r="E480" s="5" t="n">
        <v>10.2</v>
      </c>
      <c r="F480" s="5" t="n">
        <v>0</v>
      </c>
      <c r="G480" s="5" t="n">
        <v>3.5</v>
      </c>
      <c r="H480" s="5" t="n">
        <v>3.3</v>
      </c>
      <c r="I480" s="5" t="n">
        <v>1.1</v>
      </c>
      <c r="J480" s="5" t="n">
        <v>229.6</v>
      </c>
      <c r="K480" s="5" t="n">
        <v>11</v>
      </c>
    </row>
    <row r="481" customFormat="false" ht="15" hidden="false" customHeight="false" outlineLevel="0" collapsed="false">
      <c r="A481" s="5" t="n">
        <v>170</v>
      </c>
      <c r="B481" s="5" t="n">
        <v>7</v>
      </c>
      <c r="C481" s="5" t="n">
        <v>2.6</v>
      </c>
      <c r="D481" s="5" t="n">
        <v>12.5</v>
      </c>
      <c r="E481" s="5" t="n">
        <v>10.9</v>
      </c>
      <c r="F481" s="5" t="n">
        <v>0</v>
      </c>
      <c r="G481" s="5" t="n">
        <v>2.9</v>
      </c>
      <c r="H481" s="5" t="n">
        <v>3.7</v>
      </c>
      <c r="I481" s="5" t="n">
        <v>1.1</v>
      </c>
      <c r="J481" s="5" t="n">
        <v>246.7</v>
      </c>
      <c r="K481" s="5" t="n">
        <v>11</v>
      </c>
    </row>
    <row r="482" customFormat="false" ht="15" hidden="false" customHeight="false" outlineLevel="0" collapsed="false">
      <c r="A482" s="5" t="n">
        <v>175</v>
      </c>
      <c r="B482" s="5" t="n">
        <v>6</v>
      </c>
      <c r="C482" s="5" t="n">
        <v>3</v>
      </c>
      <c r="D482" s="5" t="n">
        <v>11.6</v>
      </c>
      <c r="E482" s="5" t="n">
        <v>10.4</v>
      </c>
      <c r="F482" s="5" t="n">
        <v>0</v>
      </c>
      <c r="G482" s="5" t="n">
        <v>2.2</v>
      </c>
      <c r="H482" s="5" t="n">
        <v>2.9</v>
      </c>
      <c r="I482" s="5" t="n">
        <v>0.8</v>
      </c>
      <c r="J482" s="5" t="n">
        <v>259.6</v>
      </c>
      <c r="K482" s="5" t="n">
        <v>11</v>
      </c>
    </row>
    <row r="483" customFormat="false" ht="15" hidden="false" customHeight="false" outlineLevel="0" collapsed="false">
      <c r="A483" s="5" t="n">
        <v>180</v>
      </c>
      <c r="B483" s="5" t="n">
        <v>4</v>
      </c>
      <c r="C483" s="5" t="n">
        <v>1.4</v>
      </c>
      <c r="D483" s="5" t="n">
        <v>10.6</v>
      </c>
      <c r="E483" s="5" t="n">
        <v>10</v>
      </c>
      <c r="F483" s="5" t="n">
        <v>0</v>
      </c>
      <c r="G483" s="5" t="n">
        <v>2</v>
      </c>
      <c r="H483" s="5" t="n">
        <v>2.8</v>
      </c>
      <c r="I483" s="5" t="n">
        <v>0.9</v>
      </c>
      <c r="J483" s="5" t="n">
        <v>271.8</v>
      </c>
      <c r="K483" s="5" t="n">
        <v>11</v>
      </c>
    </row>
    <row r="484" customFormat="false" ht="15" hidden="false" customHeight="false" outlineLevel="0" collapsed="false">
      <c r="A484" s="5" t="n">
        <v>185</v>
      </c>
      <c r="B484" s="5" t="n">
        <v>3</v>
      </c>
      <c r="C484" s="5" t="n">
        <v>1.2</v>
      </c>
      <c r="D484" s="5" t="n">
        <v>10.1</v>
      </c>
      <c r="E484" s="5" t="n">
        <v>9.5</v>
      </c>
      <c r="F484" s="5" t="n">
        <v>0</v>
      </c>
      <c r="G484" s="5" t="n">
        <v>1.3</v>
      </c>
      <c r="H484" s="5" t="n">
        <v>2.1</v>
      </c>
      <c r="I484" s="5" t="n">
        <v>0.8</v>
      </c>
      <c r="J484" s="5" t="n">
        <v>281.9</v>
      </c>
      <c r="K484" s="5" t="n">
        <v>11</v>
      </c>
    </row>
    <row r="487" customFormat="false" ht="15" hidden="false" customHeight="false" outlineLevel="0" collapsed="false">
      <c r="A487" s="3" t="s">
        <v>40</v>
      </c>
    </row>
    <row r="488" customFormat="false" ht="30" hidden="false" customHeight="true" outlineLevel="0" collapsed="false">
      <c r="A488" s="4" t="s">
        <v>831</v>
      </c>
      <c r="B488" s="4" t="s">
        <v>832</v>
      </c>
      <c r="C488" s="4" t="s">
        <v>833</v>
      </c>
      <c r="D488" s="4" t="s">
        <v>29</v>
      </c>
      <c r="E488" s="4" t="s">
        <v>655</v>
      </c>
      <c r="F488" s="4" t="s">
        <v>534</v>
      </c>
      <c r="G488" s="4" t="s">
        <v>821</v>
      </c>
      <c r="H488" s="4" t="s">
        <v>834</v>
      </c>
      <c r="I488" s="4" t="s">
        <v>835</v>
      </c>
      <c r="J488" s="4" t="s">
        <v>836</v>
      </c>
      <c r="K488" s="4" t="s">
        <v>837</v>
      </c>
    </row>
    <row r="489" customFormat="false" ht="15" hidden="false" customHeight="false" outlineLevel="0" collapsed="false">
      <c r="A489" s="5" t="n">
        <v>0</v>
      </c>
      <c r="B489" s="5" t="n">
        <v>20</v>
      </c>
      <c r="C489" s="5" t="n">
        <v>21.4</v>
      </c>
      <c r="D489" s="5" t="n">
        <v>316.7</v>
      </c>
      <c r="E489" s="5" t="n">
        <v>105.4</v>
      </c>
      <c r="F489" s="5" t="n">
        <v>0</v>
      </c>
      <c r="G489" s="5" t="n">
        <v>71.5</v>
      </c>
      <c r="H489" s="5" t="n">
        <v>0.4</v>
      </c>
      <c r="I489" s="5" t="n">
        <v>20.4</v>
      </c>
      <c r="J489" s="5" t="n">
        <v>205</v>
      </c>
      <c r="K489" s="5" t="n">
        <v>11</v>
      </c>
    </row>
    <row r="490" customFormat="false" ht="15" hidden="false" customHeight="false" outlineLevel="0" collapsed="false">
      <c r="A490" s="5" t="n">
        <v>5</v>
      </c>
      <c r="B490" s="5" t="n">
        <v>20</v>
      </c>
      <c r="C490" s="5" t="n">
        <v>18</v>
      </c>
      <c r="D490" s="5" t="n">
        <v>214</v>
      </c>
      <c r="E490" s="5" t="n">
        <v>94.3</v>
      </c>
      <c r="F490" s="5" t="n">
        <v>0</v>
      </c>
      <c r="G490" s="5" t="n">
        <v>163.5</v>
      </c>
      <c r="H490" s="5" t="n">
        <v>4.5</v>
      </c>
      <c r="I490" s="5" t="n">
        <v>17.7</v>
      </c>
      <c r="J490" s="5" t="n">
        <v>164.6</v>
      </c>
      <c r="K490" s="5" t="n">
        <v>11</v>
      </c>
    </row>
    <row r="491" customFormat="false" ht="15" hidden="false" customHeight="false" outlineLevel="0" collapsed="false">
      <c r="A491" s="5" t="n">
        <v>10</v>
      </c>
      <c r="B491" s="5" t="n">
        <v>20</v>
      </c>
      <c r="C491" s="5" t="n">
        <v>18.4</v>
      </c>
      <c r="D491" s="5" t="n">
        <v>94.2</v>
      </c>
      <c r="E491" s="5" t="n">
        <v>69.4</v>
      </c>
      <c r="F491" s="5" t="n">
        <v>0</v>
      </c>
      <c r="G491" s="5" t="n">
        <v>119.6</v>
      </c>
      <c r="H491" s="5" t="n">
        <v>4.3</v>
      </c>
      <c r="I491" s="5" t="n">
        <v>13.7</v>
      </c>
      <c r="J491" s="5" t="n">
        <v>277.8</v>
      </c>
      <c r="K491" s="5" t="n">
        <v>11</v>
      </c>
    </row>
    <row r="492" customFormat="false" ht="15" hidden="false" customHeight="false" outlineLevel="0" collapsed="false">
      <c r="A492" s="5" t="n">
        <v>15</v>
      </c>
      <c r="B492" s="5" t="n">
        <v>20</v>
      </c>
      <c r="C492" s="5" t="n">
        <v>17.8</v>
      </c>
      <c r="D492" s="5" t="n">
        <v>83.9</v>
      </c>
      <c r="E492" s="5" t="n">
        <v>67.6</v>
      </c>
      <c r="F492" s="5" t="n">
        <v>0</v>
      </c>
      <c r="G492" s="5" t="n">
        <v>114</v>
      </c>
      <c r="H492" s="5" t="n">
        <v>4.7</v>
      </c>
      <c r="I492" s="5" t="n">
        <v>13.1</v>
      </c>
      <c r="J492" s="5" t="n">
        <v>137.1</v>
      </c>
      <c r="K492" s="5" t="n">
        <v>11</v>
      </c>
    </row>
    <row r="493" customFormat="false" ht="15" hidden="false" customHeight="false" outlineLevel="0" collapsed="false">
      <c r="A493" s="5" t="n">
        <v>20</v>
      </c>
      <c r="B493" s="5" t="n">
        <v>20</v>
      </c>
      <c r="C493" s="5" t="n">
        <v>19.6</v>
      </c>
      <c r="D493" s="5" t="n">
        <v>84.1</v>
      </c>
      <c r="E493" s="5" t="n">
        <v>66.3</v>
      </c>
      <c r="F493" s="5" t="n">
        <v>0</v>
      </c>
      <c r="G493" s="5" t="n">
        <v>111.3</v>
      </c>
      <c r="H493" s="5" t="n">
        <v>4.3</v>
      </c>
      <c r="I493" s="5" t="n">
        <v>12.9</v>
      </c>
      <c r="J493" s="5" t="n">
        <v>178.9</v>
      </c>
      <c r="K493" s="5" t="n">
        <v>11</v>
      </c>
    </row>
    <row r="494" customFormat="false" ht="15" hidden="false" customHeight="false" outlineLevel="0" collapsed="false">
      <c r="A494" s="5" t="n">
        <v>25</v>
      </c>
      <c r="B494" s="5" t="n">
        <v>20</v>
      </c>
      <c r="C494" s="5" t="n">
        <v>18.4</v>
      </c>
      <c r="D494" s="5" t="n">
        <v>89.4</v>
      </c>
      <c r="E494" s="5" t="n">
        <v>64.3</v>
      </c>
      <c r="F494" s="5" t="n">
        <v>0</v>
      </c>
      <c r="G494" s="5" t="n">
        <v>114.9</v>
      </c>
      <c r="H494" s="5" t="n">
        <v>4.5</v>
      </c>
      <c r="I494" s="5" t="n">
        <v>13.6</v>
      </c>
      <c r="J494" s="5" t="n">
        <v>279.1</v>
      </c>
      <c r="K494" s="5" t="n">
        <v>11</v>
      </c>
    </row>
    <row r="495" customFormat="false" ht="15" hidden="false" customHeight="false" outlineLevel="0" collapsed="false">
      <c r="A495" s="5" t="n">
        <v>30</v>
      </c>
      <c r="B495" s="5" t="n">
        <v>20</v>
      </c>
      <c r="C495" s="5" t="n">
        <v>23</v>
      </c>
      <c r="D495" s="5" t="n">
        <v>87.5</v>
      </c>
      <c r="E495" s="5" t="n">
        <v>44.1</v>
      </c>
      <c r="F495" s="5" t="n">
        <v>0</v>
      </c>
      <c r="G495" s="5" t="n">
        <v>33.6</v>
      </c>
      <c r="H495" s="5" t="n">
        <v>1.4</v>
      </c>
      <c r="I495" s="5" t="n">
        <v>13.5</v>
      </c>
      <c r="J495" s="5" t="n">
        <v>142.6</v>
      </c>
      <c r="K495" s="5" t="n">
        <v>11</v>
      </c>
    </row>
    <row r="496" customFormat="false" ht="15" hidden="false" customHeight="false" outlineLevel="0" collapsed="false">
      <c r="A496" s="5" t="n">
        <v>35</v>
      </c>
      <c r="B496" s="5" t="n">
        <v>20</v>
      </c>
      <c r="C496" s="5" t="n">
        <v>19.8</v>
      </c>
      <c r="D496" s="5" t="n">
        <v>86.4</v>
      </c>
      <c r="E496" s="5" t="n">
        <v>66</v>
      </c>
      <c r="F496" s="5" t="n">
        <v>0</v>
      </c>
      <c r="G496" s="5" t="n">
        <v>119.8</v>
      </c>
      <c r="H496" s="5" t="n">
        <v>4.9</v>
      </c>
      <c r="I496" s="5" t="n">
        <v>13.8</v>
      </c>
      <c r="J496" s="5" t="n">
        <v>205.2</v>
      </c>
      <c r="K496" s="5" t="n">
        <v>11</v>
      </c>
    </row>
    <row r="497" customFormat="false" ht="15" hidden="false" customHeight="false" outlineLevel="0" collapsed="false">
      <c r="A497" s="5" t="n">
        <v>40</v>
      </c>
      <c r="B497" s="5" t="n">
        <v>20</v>
      </c>
      <c r="C497" s="5" t="n">
        <v>19.6</v>
      </c>
      <c r="D497" s="5" t="n">
        <v>76</v>
      </c>
      <c r="E497" s="5" t="n">
        <v>61.8</v>
      </c>
      <c r="F497" s="5" t="n">
        <v>0</v>
      </c>
      <c r="G497" s="5" t="n">
        <v>108.3</v>
      </c>
      <c r="H497" s="5" t="n">
        <v>4.5</v>
      </c>
      <c r="I497" s="5" t="n">
        <v>12.7</v>
      </c>
      <c r="J497" s="5" t="n">
        <v>247.2</v>
      </c>
      <c r="K497" s="5" t="n">
        <v>11</v>
      </c>
    </row>
    <row r="498" customFormat="false" ht="15" hidden="false" customHeight="false" outlineLevel="0" collapsed="false">
      <c r="A498" s="5" t="n">
        <v>45</v>
      </c>
      <c r="B498" s="5" t="n">
        <v>20</v>
      </c>
      <c r="C498" s="5" t="n">
        <v>18.2</v>
      </c>
      <c r="D498" s="5" t="n">
        <v>81.8</v>
      </c>
      <c r="E498" s="5" t="n">
        <v>63.6</v>
      </c>
      <c r="F498" s="5" t="n">
        <v>0</v>
      </c>
      <c r="G498" s="5" t="n">
        <v>110.5</v>
      </c>
      <c r="H498" s="5" t="n">
        <v>4.7</v>
      </c>
      <c r="I498" s="5" t="n">
        <v>13.1</v>
      </c>
      <c r="J498" s="5" t="n">
        <v>110.8</v>
      </c>
      <c r="K498" s="5" t="n">
        <v>11</v>
      </c>
    </row>
    <row r="499" customFormat="false" ht="15" hidden="false" customHeight="false" outlineLevel="0" collapsed="false">
      <c r="A499" s="5" t="n">
        <v>50</v>
      </c>
      <c r="B499" s="5" t="n">
        <v>20</v>
      </c>
      <c r="C499" s="5" t="n">
        <v>18.8</v>
      </c>
      <c r="D499" s="5" t="n">
        <v>90.1</v>
      </c>
      <c r="E499" s="5" t="n">
        <v>67.1</v>
      </c>
      <c r="F499" s="5" t="n">
        <v>0</v>
      </c>
      <c r="G499" s="5" t="n">
        <v>118</v>
      </c>
      <c r="H499" s="5" t="n">
        <v>5.3</v>
      </c>
      <c r="I499" s="5" t="n">
        <v>13.7</v>
      </c>
      <c r="J499" s="5" t="n">
        <v>211.6</v>
      </c>
      <c r="K499" s="5" t="n">
        <v>11</v>
      </c>
    </row>
    <row r="500" customFormat="false" ht="15" hidden="false" customHeight="false" outlineLevel="0" collapsed="false">
      <c r="A500" s="5" t="n">
        <v>55</v>
      </c>
      <c r="B500" s="5" t="n">
        <v>20</v>
      </c>
      <c r="C500" s="5" t="n">
        <v>19</v>
      </c>
      <c r="D500" s="5" t="n">
        <v>88.5</v>
      </c>
      <c r="E500" s="5" t="n">
        <v>63.9</v>
      </c>
      <c r="F500" s="5" t="n">
        <v>0</v>
      </c>
      <c r="G500" s="5" t="n">
        <v>113.7</v>
      </c>
      <c r="H500" s="5" t="n">
        <v>4.2</v>
      </c>
      <c r="I500" s="5" t="n">
        <v>13.3</v>
      </c>
      <c r="J500" s="5" t="n">
        <v>302.1</v>
      </c>
      <c r="K500" s="5" t="n">
        <v>11</v>
      </c>
    </row>
    <row r="501" customFormat="false" ht="15" hidden="false" customHeight="false" outlineLevel="0" collapsed="false">
      <c r="A501" s="5" t="n">
        <v>60</v>
      </c>
      <c r="B501" s="5" t="n">
        <v>20</v>
      </c>
      <c r="C501" s="5" t="n">
        <v>22</v>
      </c>
      <c r="D501" s="5" t="n">
        <v>86.8</v>
      </c>
      <c r="E501" s="5" t="n">
        <v>29.4</v>
      </c>
      <c r="F501" s="5" t="n">
        <v>0</v>
      </c>
      <c r="G501" s="5" t="n">
        <v>35.7</v>
      </c>
      <c r="H501" s="5" t="n">
        <v>0.3</v>
      </c>
      <c r="I501" s="5" t="n">
        <v>13.4</v>
      </c>
      <c r="J501" s="5" t="n">
        <v>119.2</v>
      </c>
      <c r="K501" s="5" t="n">
        <v>11</v>
      </c>
    </row>
    <row r="502" customFormat="false" ht="15" hidden="false" customHeight="false" outlineLevel="0" collapsed="false">
      <c r="A502" s="5" t="n">
        <v>65</v>
      </c>
      <c r="B502" s="5" t="n">
        <v>20</v>
      </c>
      <c r="C502" s="5" t="n">
        <v>20.8</v>
      </c>
      <c r="D502" s="5" t="n">
        <v>93.9</v>
      </c>
      <c r="E502" s="5" t="n">
        <v>66.2</v>
      </c>
      <c r="F502" s="5" t="n">
        <v>0</v>
      </c>
      <c r="G502" s="5" t="n">
        <v>109.3</v>
      </c>
      <c r="H502" s="5" t="n">
        <v>4.5</v>
      </c>
      <c r="I502" s="5" t="n">
        <v>12.3</v>
      </c>
      <c r="J502" s="5" t="n">
        <v>245.1</v>
      </c>
      <c r="K502" s="5" t="n">
        <v>11</v>
      </c>
    </row>
    <row r="503" customFormat="false" ht="15" hidden="false" customHeight="false" outlineLevel="0" collapsed="false">
      <c r="A503" s="5" t="n">
        <v>70</v>
      </c>
      <c r="B503" s="5" t="n">
        <v>20</v>
      </c>
      <c r="C503" s="5" t="n">
        <v>19</v>
      </c>
      <c r="D503" s="5" t="n">
        <v>123.5</v>
      </c>
      <c r="E503" s="5" t="n">
        <v>71.4</v>
      </c>
      <c r="F503" s="5" t="n">
        <v>0</v>
      </c>
      <c r="G503" s="5" t="n">
        <v>132.5</v>
      </c>
      <c r="H503" s="5" t="n">
        <v>4.7</v>
      </c>
      <c r="I503" s="5" t="n">
        <v>14.5</v>
      </c>
      <c r="J503" s="5" t="n">
        <v>194.7</v>
      </c>
      <c r="K503" s="5" t="n">
        <v>11</v>
      </c>
    </row>
    <row r="504" customFormat="false" ht="15" hidden="false" customHeight="false" outlineLevel="0" collapsed="false">
      <c r="A504" s="5" t="n">
        <v>75</v>
      </c>
      <c r="B504" s="5" t="n">
        <v>20</v>
      </c>
      <c r="C504" s="5" t="n">
        <v>18.6</v>
      </c>
      <c r="D504" s="5" t="n">
        <v>88.1</v>
      </c>
      <c r="E504" s="5" t="n">
        <v>68.5</v>
      </c>
      <c r="F504" s="5" t="n">
        <v>0</v>
      </c>
      <c r="G504" s="5" t="n">
        <v>117.4</v>
      </c>
      <c r="H504" s="5" t="n">
        <v>4.9</v>
      </c>
      <c r="I504" s="5" t="n">
        <v>13.4</v>
      </c>
      <c r="J504" s="5" t="n">
        <v>132.7</v>
      </c>
      <c r="K504" s="5" t="n">
        <v>11</v>
      </c>
    </row>
    <row r="505" customFormat="false" ht="15" hidden="false" customHeight="false" outlineLevel="0" collapsed="false">
      <c r="A505" s="5" t="n">
        <v>80</v>
      </c>
      <c r="B505" s="5" t="n">
        <v>20</v>
      </c>
      <c r="C505" s="5" t="n">
        <v>18.2</v>
      </c>
      <c r="D505" s="5" t="n">
        <v>126.3</v>
      </c>
      <c r="E505" s="5" t="n">
        <v>72.1</v>
      </c>
      <c r="F505" s="5" t="n">
        <v>0</v>
      </c>
      <c r="G505" s="5" t="n">
        <v>121.8</v>
      </c>
      <c r="H505" s="5" t="n">
        <v>4.5</v>
      </c>
      <c r="I505" s="5" t="n">
        <v>13.8</v>
      </c>
      <c r="J505" s="5" t="n">
        <v>232.1</v>
      </c>
      <c r="K505" s="5" t="n">
        <v>11</v>
      </c>
    </row>
    <row r="506" customFormat="false" ht="15" hidden="false" customHeight="false" outlineLevel="0" collapsed="false">
      <c r="A506" s="5" t="n">
        <v>85</v>
      </c>
      <c r="B506" s="5" t="n">
        <v>20</v>
      </c>
      <c r="C506" s="5" t="n">
        <v>19.2</v>
      </c>
      <c r="D506" s="5" t="n">
        <v>93</v>
      </c>
      <c r="E506" s="5" t="n">
        <v>66.1</v>
      </c>
      <c r="F506" s="5" t="n">
        <v>0</v>
      </c>
      <c r="G506" s="5" t="n">
        <v>115</v>
      </c>
      <c r="H506" s="5" t="n">
        <v>4.9</v>
      </c>
      <c r="I506" s="5" t="n">
        <v>13.2</v>
      </c>
      <c r="J506" s="5" t="n">
        <v>269.7</v>
      </c>
      <c r="K506" s="5" t="n">
        <v>11</v>
      </c>
    </row>
    <row r="507" customFormat="false" ht="15" hidden="false" customHeight="false" outlineLevel="0" collapsed="false">
      <c r="A507" s="5" t="n">
        <v>90</v>
      </c>
      <c r="B507" s="5" t="n">
        <v>20</v>
      </c>
      <c r="C507" s="5" t="n">
        <v>17.4</v>
      </c>
      <c r="D507" s="5" t="n">
        <v>94.3</v>
      </c>
      <c r="E507" s="5" t="n">
        <v>65.9</v>
      </c>
      <c r="F507" s="5" t="n">
        <v>0</v>
      </c>
      <c r="G507" s="5" t="n">
        <v>109.5</v>
      </c>
      <c r="H507" s="5" t="n">
        <v>4.3</v>
      </c>
      <c r="I507" s="5" t="n">
        <v>12.5</v>
      </c>
      <c r="J507" s="5" t="n">
        <v>121.4</v>
      </c>
      <c r="K507" s="5" t="n">
        <v>11</v>
      </c>
    </row>
    <row r="508" customFormat="false" ht="15" hidden="false" customHeight="false" outlineLevel="0" collapsed="false">
      <c r="A508" s="5" t="n">
        <v>95</v>
      </c>
      <c r="B508" s="5" t="n">
        <v>20</v>
      </c>
      <c r="C508" s="5" t="n">
        <v>23</v>
      </c>
      <c r="D508" s="5" t="n">
        <v>78.4</v>
      </c>
      <c r="E508" s="5" t="n">
        <v>62.8</v>
      </c>
      <c r="F508" s="5" t="n">
        <v>0</v>
      </c>
      <c r="G508" s="5" t="n">
        <v>-275.8</v>
      </c>
      <c r="H508" s="5" t="n">
        <v>-10.4</v>
      </c>
      <c r="I508" s="5" t="n">
        <v>13.2</v>
      </c>
      <c r="J508" s="5" t="n">
        <v>230.7</v>
      </c>
      <c r="K508" s="5" t="n">
        <v>11</v>
      </c>
    </row>
    <row r="509" customFormat="false" ht="15" hidden="false" customHeight="false" outlineLevel="0" collapsed="false">
      <c r="A509" s="5" t="n">
        <v>100</v>
      </c>
      <c r="B509" s="5" t="n">
        <v>20</v>
      </c>
      <c r="C509" s="5" t="n">
        <v>19.6</v>
      </c>
      <c r="D509" s="5" t="n">
        <v>86.5</v>
      </c>
      <c r="E509" s="5" t="n">
        <v>64.9</v>
      </c>
      <c r="F509" s="5" t="n">
        <v>0</v>
      </c>
      <c r="G509" s="5" t="n">
        <v>113.4</v>
      </c>
      <c r="H509" s="5" t="n">
        <v>4.5</v>
      </c>
      <c r="I509" s="5" t="n">
        <v>13.4</v>
      </c>
      <c r="J509" s="5" t="n">
        <v>217.8</v>
      </c>
      <c r="K509" s="5" t="n">
        <v>11</v>
      </c>
    </row>
    <row r="510" customFormat="false" ht="15" hidden="false" customHeight="false" outlineLevel="0" collapsed="false">
      <c r="A510" s="5" t="n">
        <v>105</v>
      </c>
      <c r="B510" s="5" t="n">
        <v>20</v>
      </c>
      <c r="C510" s="5" t="n">
        <v>19.8</v>
      </c>
      <c r="D510" s="5" t="n">
        <v>79.6</v>
      </c>
      <c r="E510" s="5" t="n">
        <v>62.7</v>
      </c>
      <c r="F510" s="5" t="n">
        <v>0</v>
      </c>
      <c r="G510" s="5" t="n">
        <v>110.6</v>
      </c>
      <c r="H510" s="5" t="n">
        <v>4.3</v>
      </c>
      <c r="I510" s="5" t="n">
        <v>13.3</v>
      </c>
      <c r="J510" s="5" t="n">
        <v>137</v>
      </c>
      <c r="K510" s="5" t="n">
        <v>11</v>
      </c>
    </row>
    <row r="511" customFormat="false" ht="15" hidden="false" customHeight="false" outlineLevel="0" collapsed="false">
      <c r="A511" s="5" t="n">
        <v>110</v>
      </c>
      <c r="B511" s="5" t="n">
        <v>20</v>
      </c>
      <c r="C511" s="5" t="n">
        <v>19</v>
      </c>
      <c r="D511" s="5" t="n">
        <v>95.6</v>
      </c>
      <c r="E511" s="5" t="n">
        <v>66.9</v>
      </c>
      <c r="F511" s="5" t="n">
        <v>0</v>
      </c>
      <c r="G511" s="5" t="n">
        <v>117.9</v>
      </c>
      <c r="H511" s="5" t="n">
        <v>5.5</v>
      </c>
      <c r="I511" s="5" t="n">
        <v>13.3</v>
      </c>
      <c r="J511" s="5" t="n">
        <v>240.4</v>
      </c>
      <c r="K511" s="5" t="n">
        <v>11</v>
      </c>
    </row>
    <row r="514" customFormat="false" ht="15" hidden="false" customHeight="false" outlineLevel="0" collapsed="false">
      <c r="A514" s="3" t="s">
        <v>41</v>
      </c>
    </row>
    <row r="515" customFormat="false" ht="30" hidden="false" customHeight="true" outlineLevel="0" collapsed="false">
      <c r="A515" s="4" t="s">
        <v>831</v>
      </c>
      <c r="B515" s="4" t="s">
        <v>832</v>
      </c>
      <c r="C515" s="4" t="s">
        <v>833</v>
      </c>
      <c r="D515" s="4" t="s">
        <v>29</v>
      </c>
      <c r="E515" s="4" t="s">
        <v>655</v>
      </c>
      <c r="F515" s="4" t="s">
        <v>534</v>
      </c>
      <c r="G515" s="4" t="s">
        <v>821</v>
      </c>
      <c r="H515" s="4" t="s">
        <v>834</v>
      </c>
      <c r="I515" s="4" t="s">
        <v>835</v>
      </c>
      <c r="J515" s="4" t="s">
        <v>836</v>
      </c>
      <c r="K515" s="4" t="s">
        <v>837</v>
      </c>
    </row>
    <row r="516" customFormat="false" ht="15" hidden="false" customHeight="false" outlineLevel="0" collapsed="false">
      <c r="A516" s="5" t="n">
        <v>0</v>
      </c>
      <c r="B516" s="5" t="n">
        <v>40</v>
      </c>
      <c r="C516" s="5" t="n">
        <v>44.8</v>
      </c>
      <c r="D516" s="5" t="n">
        <v>172.5</v>
      </c>
      <c r="E516" s="5" t="n">
        <v>51.5</v>
      </c>
      <c r="F516" s="5" t="n">
        <v>0</v>
      </c>
      <c r="G516" s="5" t="n">
        <v>67.4</v>
      </c>
      <c r="H516" s="5" t="n">
        <v>16</v>
      </c>
      <c r="I516" s="5" t="n">
        <v>6.6</v>
      </c>
      <c r="J516" s="5" t="n">
        <v>282.3</v>
      </c>
      <c r="K516" s="5" t="n">
        <v>11</v>
      </c>
    </row>
    <row r="517" customFormat="false" ht="15" hidden="false" customHeight="false" outlineLevel="0" collapsed="false">
      <c r="A517" s="5" t="n">
        <v>5</v>
      </c>
      <c r="B517" s="5" t="n">
        <v>40</v>
      </c>
      <c r="C517" s="5" t="n">
        <v>28.6</v>
      </c>
      <c r="D517" s="5" t="n">
        <v>19.1</v>
      </c>
      <c r="E517" s="5" t="n">
        <v>11.5</v>
      </c>
      <c r="F517" s="5" t="n">
        <v>0</v>
      </c>
      <c r="G517" s="5" t="n">
        <v>15.1</v>
      </c>
      <c r="H517" s="5" t="n">
        <v>12.3</v>
      </c>
      <c r="I517" s="5" t="n">
        <v>3.4</v>
      </c>
      <c r="J517" s="5" t="n">
        <v>84.4</v>
      </c>
      <c r="K517" s="5" t="n">
        <v>11</v>
      </c>
    </row>
    <row r="518" customFormat="false" ht="15" hidden="false" customHeight="false" outlineLevel="0" collapsed="false">
      <c r="A518" s="5" t="n">
        <v>10</v>
      </c>
      <c r="B518" s="5" t="n">
        <v>40</v>
      </c>
      <c r="C518" s="5" t="n">
        <v>24.2</v>
      </c>
      <c r="D518" s="5" t="n">
        <v>16.7</v>
      </c>
      <c r="E518" s="5" t="n">
        <v>9.2</v>
      </c>
      <c r="F518" s="5" t="n">
        <v>0</v>
      </c>
      <c r="G518" s="5" t="n">
        <v>11.6</v>
      </c>
      <c r="H518" s="5" t="n">
        <v>10.6</v>
      </c>
      <c r="I518" s="5" t="n">
        <v>2.8</v>
      </c>
      <c r="J518" s="5" t="n">
        <v>128.2</v>
      </c>
      <c r="K518" s="5" t="n">
        <v>11</v>
      </c>
    </row>
    <row r="519" customFormat="false" ht="15" hidden="false" customHeight="false" outlineLevel="0" collapsed="false">
      <c r="A519" s="5" t="n">
        <v>15</v>
      </c>
      <c r="B519" s="5" t="n">
        <v>40</v>
      </c>
      <c r="C519" s="5" t="n">
        <v>25.8</v>
      </c>
      <c r="D519" s="5" t="n">
        <v>16.4</v>
      </c>
      <c r="E519" s="5" t="n">
        <v>9.7</v>
      </c>
      <c r="F519" s="5" t="n">
        <v>0</v>
      </c>
      <c r="G519" s="5" t="n">
        <v>11</v>
      </c>
      <c r="H519" s="5" t="n">
        <v>10.2</v>
      </c>
      <c r="I519" s="5" t="n">
        <v>2.4</v>
      </c>
      <c r="J519" s="5" t="n">
        <v>173.4</v>
      </c>
      <c r="K519" s="5" t="n">
        <v>11</v>
      </c>
    </row>
    <row r="520" customFormat="false" ht="15" hidden="false" customHeight="false" outlineLevel="0" collapsed="false">
      <c r="A520" s="5" t="n">
        <v>20</v>
      </c>
      <c r="B520" s="5" t="n">
        <v>40</v>
      </c>
      <c r="C520" s="5" t="n">
        <v>26.4</v>
      </c>
      <c r="D520" s="5" t="n">
        <v>16.2</v>
      </c>
      <c r="E520" s="5" t="n">
        <v>8.9</v>
      </c>
      <c r="F520" s="5" t="n">
        <v>0</v>
      </c>
      <c r="G520" s="5" t="n">
        <v>12.6</v>
      </c>
      <c r="H520" s="5" t="n">
        <v>12.2</v>
      </c>
      <c r="I520" s="5" t="n">
        <v>2.4</v>
      </c>
      <c r="J520" s="5" t="n">
        <v>216.8</v>
      </c>
      <c r="K520" s="5" t="n">
        <v>11</v>
      </c>
    </row>
    <row r="521" customFormat="false" ht="15" hidden="false" customHeight="false" outlineLevel="0" collapsed="false">
      <c r="A521" s="5" t="n">
        <v>25</v>
      </c>
      <c r="B521" s="5" t="n">
        <v>40</v>
      </c>
      <c r="C521" s="5" t="n">
        <v>27</v>
      </c>
      <c r="D521" s="5" t="n">
        <v>18.1</v>
      </c>
      <c r="E521" s="5" t="n">
        <v>10.5</v>
      </c>
      <c r="F521" s="5" t="n">
        <v>0</v>
      </c>
      <c r="G521" s="5" t="n">
        <v>20.5</v>
      </c>
      <c r="H521" s="5" t="n">
        <v>12.9</v>
      </c>
      <c r="I521" s="5" t="n">
        <v>4.2</v>
      </c>
      <c r="J521" s="5" t="n">
        <v>262.4</v>
      </c>
      <c r="K521" s="5" t="n">
        <v>11</v>
      </c>
    </row>
    <row r="522" customFormat="false" ht="15" hidden="false" customHeight="false" outlineLevel="0" collapsed="false">
      <c r="A522" s="5" t="n">
        <v>30</v>
      </c>
      <c r="B522" s="5" t="n">
        <v>40</v>
      </c>
      <c r="C522" s="5" t="n">
        <v>27.4</v>
      </c>
      <c r="D522" s="5" t="n">
        <v>18</v>
      </c>
      <c r="E522" s="5" t="n">
        <v>10</v>
      </c>
      <c r="F522" s="5" t="n">
        <v>0</v>
      </c>
      <c r="G522" s="5" t="n">
        <v>13</v>
      </c>
      <c r="H522" s="5" t="n">
        <v>10.8</v>
      </c>
      <c r="I522" s="5" t="n">
        <v>2.7</v>
      </c>
      <c r="J522" s="5" t="n">
        <v>307.6</v>
      </c>
      <c r="K522" s="5" t="n">
        <v>11</v>
      </c>
    </row>
    <row r="523" customFormat="false" ht="15" hidden="false" customHeight="false" outlineLevel="0" collapsed="false">
      <c r="A523" s="5" t="n">
        <v>35</v>
      </c>
      <c r="B523" s="5" t="n">
        <v>40</v>
      </c>
      <c r="C523" s="5" t="n">
        <v>25.2</v>
      </c>
      <c r="D523" s="5" t="n">
        <v>14.5</v>
      </c>
      <c r="E523" s="5" t="n">
        <v>7.1</v>
      </c>
      <c r="F523" s="5" t="n">
        <v>0</v>
      </c>
      <c r="G523" s="5" t="n">
        <v>10.7</v>
      </c>
      <c r="H523" s="5" t="n">
        <v>11.6</v>
      </c>
      <c r="I523" s="5" t="n">
        <v>1.7</v>
      </c>
      <c r="J523" s="5" t="n">
        <v>227.1</v>
      </c>
      <c r="K523" s="5" t="n">
        <v>11</v>
      </c>
    </row>
    <row r="524" customFormat="false" ht="15" hidden="false" customHeight="false" outlineLevel="0" collapsed="false">
      <c r="A524" s="5" t="n">
        <v>40</v>
      </c>
      <c r="B524" s="5" t="n">
        <v>40</v>
      </c>
      <c r="C524" s="5" t="n">
        <v>28</v>
      </c>
      <c r="D524" s="5" t="n">
        <v>16.5</v>
      </c>
      <c r="E524" s="5" t="n">
        <v>9.5</v>
      </c>
      <c r="F524" s="5" t="n">
        <v>0</v>
      </c>
      <c r="G524" s="5" t="n">
        <v>13.8</v>
      </c>
      <c r="H524" s="5" t="n">
        <v>13.5</v>
      </c>
      <c r="I524" s="5" t="n">
        <v>2.6</v>
      </c>
      <c r="J524" s="5" t="n">
        <v>88.3</v>
      </c>
      <c r="K524" s="5" t="n">
        <v>11</v>
      </c>
    </row>
    <row r="525" customFormat="false" ht="15" hidden="false" customHeight="false" outlineLevel="0" collapsed="false">
      <c r="A525" s="5" t="n">
        <v>45</v>
      </c>
      <c r="B525" s="5" t="n">
        <v>40</v>
      </c>
      <c r="C525" s="5" t="n">
        <v>21</v>
      </c>
      <c r="D525" s="5" t="n">
        <v>19.3</v>
      </c>
      <c r="E525" s="5" t="n">
        <v>9.7</v>
      </c>
      <c r="F525" s="5" t="n">
        <v>0</v>
      </c>
      <c r="G525" s="5" t="n">
        <v>11.8</v>
      </c>
      <c r="H525" s="5" t="n">
        <v>11.4</v>
      </c>
      <c r="I525" s="5" t="n">
        <v>2.4</v>
      </c>
      <c r="J525" s="5" t="n">
        <v>126.5</v>
      </c>
      <c r="K525" s="5" t="n">
        <v>11</v>
      </c>
    </row>
    <row r="526" customFormat="false" ht="15" hidden="false" customHeight="false" outlineLevel="0" collapsed="false">
      <c r="A526" s="5" t="n">
        <v>50</v>
      </c>
      <c r="B526" s="5" t="n">
        <v>40</v>
      </c>
      <c r="C526" s="5" t="n">
        <v>25.8</v>
      </c>
      <c r="D526" s="5" t="n">
        <v>16.1</v>
      </c>
      <c r="E526" s="5" t="n">
        <v>8.1</v>
      </c>
      <c r="F526" s="5" t="n">
        <v>0</v>
      </c>
      <c r="G526" s="5" t="n">
        <v>10.4</v>
      </c>
      <c r="H526" s="5" t="n">
        <v>9.3</v>
      </c>
      <c r="I526" s="5" t="n">
        <v>2.1</v>
      </c>
      <c r="J526" s="5" t="n">
        <v>159.9</v>
      </c>
      <c r="K526" s="5" t="n">
        <v>11</v>
      </c>
    </row>
    <row r="527" customFormat="false" ht="15" hidden="false" customHeight="false" outlineLevel="0" collapsed="false">
      <c r="A527" s="5" t="n">
        <v>55</v>
      </c>
      <c r="B527" s="5" t="n">
        <v>40</v>
      </c>
      <c r="C527" s="5" t="n">
        <v>27.2</v>
      </c>
      <c r="D527" s="5" t="n">
        <v>17.1</v>
      </c>
      <c r="E527" s="5" t="n">
        <v>9.2</v>
      </c>
      <c r="F527" s="5" t="n">
        <v>0</v>
      </c>
      <c r="G527" s="5" t="n">
        <v>13.6</v>
      </c>
      <c r="H527" s="5" t="n">
        <v>13.4</v>
      </c>
      <c r="I527" s="5" t="n">
        <v>2.9</v>
      </c>
      <c r="J527" s="5" t="n">
        <v>201.7</v>
      </c>
      <c r="K527" s="5" t="n">
        <v>11</v>
      </c>
    </row>
    <row r="528" customFormat="false" ht="15" hidden="false" customHeight="false" outlineLevel="0" collapsed="false">
      <c r="A528" s="5" t="n">
        <v>60</v>
      </c>
      <c r="B528" s="5" t="n">
        <v>40</v>
      </c>
      <c r="C528" s="5" t="n">
        <v>24.4</v>
      </c>
      <c r="D528" s="5" t="n">
        <v>17.1</v>
      </c>
      <c r="E528" s="5" t="n">
        <v>9.8</v>
      </c>
      <c r="F528" s="5" t="n">
        <v>0</v>
      </c>
      <c r="G528" s="5" t="n">
        <v>12.6</v>
      </c>
      <c r="H528" s="5" t="n">
        <v>12.4</v>
      </c>
      <c r="I528" s="5" t="n">
        <v>2.5</v>
      </c>
      <c r="J528" s="5" t="n">
        <v>248.9</v>
      </c>
      <c r="K528" s="5" t="n">
        <v>11</v>
      </c>
    </row>
    <row r="529" customFormat="false" ht="15" hidden="false" customHeight="false" outlineLevel="0" collapsed="false">
      <c r="A529" s="5" t="n">
        <v>65</v>
      </c>
      <c r="B529" s="5" t="n">
        <v>40</v>
      </c>
      <c r="C529" s="5" t="n">
        <v>26</v>
      </c>
      <c r="D529" s="5" t="n">
        <v>17.8</v>
      </c>
      <c r="E529" s="5" t="n">
        <v>8.4</v>
      </c>
      <c r="F529" s="5" t="n">
        <v>0</v>
      </c>
      <c r="G529" s="5" t="n">
        <v>11.2</v>
      </c>
      <c r="H529" s="5" t="n">
        <v>11.2</v>
      </c>
      <c r="I529" s="5" t="n">
        <v>1.9</v>
      </c>
      <c r="J529" s="5" t="n">
        <v>289.5</v>
      </c>
      <c r="K529" s="5" t="n">
        <v>11</v>
      </c>
    </row>
    <row r="530" customFormat="false" ht="15" hidden="false" customHeight="false" outlineLevel="0" collapsed="false">
      <c r="A530" s="5" t="n">
        <v>70</v>
      </c>
      <c r="B530" s="5" t="n">
        <v>40</v>
      </c>
      <c r="C530" s="5" t="n">
        <v>27.2</v>
      </c>
      <c r="D530" s="5" t="n">
        <v>16</v>
      </c>
      <c r="E530" s="5" t="n">
        <v>8.3</v>
      </c>
      <c r="F530" s="5" t="n">
        <v>0</v>
      </c>
      <c r="G530" s="5" t="n">
        <v>12</v>
      </c>
      <c r="H530" s="5" t="n">
        <v>11.4</v>
      </c>
      <c r="I530" s="5" t="n">
        <v>2.5</v>
      </c>
      <c r="J530" s="5" t="n">
        <v>328.3</v>
      </c>
      <c r="K530" s="5" t="n">
        <v>11</v>
      </c>
    </row>
    <row r="531" customFormat="false" ht="15" hidden="false" customHeight="false" outlineLevel="0" collapsed="false">
      <c r="A531" s="5" t="n">
        <v>75</v>
      </c>
      <c r="B531" s="5" t="n">
        <v>40</v>
      </c>
      <c r="C531" s="5" t="n">
        <v>26.8</v>
      </c>
      <c r="D531" s="5" t="n">
        <v>16.7</v>
      </c>
      <c r="E531" s="5" t="n">
        <v>10.1</v>
      </c>
      <c r="F531" s="5" t="n">
        <v>0</v>
      </c>
      <c r="G531" s="5" t="n">
        <v>13.6</v>
      </c>
      <c r="H531" s="5" t="n">
        <v>11.8</v>
      </c>
      <c r="I531" s="5" t="n">
        <v>3</v>
      </c>
      <c r="J531" s="5" t="n">
        <v>75.7</v>
      </c>
      <c r="K531" s="5" t="n">
        <v>11</v>
      </c>
    </row>
    <row r="532" customFormat="false" ht="15" hidden="false" customHeight="false" outlineLevel="0" collapsed="false">
      <c r="A532" s="5" t="n">
        <v>80</v>
      </c>
      <c r="B532" s="5" t="n">
        <v>40</v>
      </c>
      <c r="C532" s="5" t="n">
        <v>23.8</v>
      </c>
      <c r="D532" s="5" t="n">
        <v>16.5</v>
      </c>
      <c r="E532" s="5" t="n">
        <v>7.7</v>
      </c>
      <c r="F532" s="5" t="n">
        <v>0</v>
      </c>
      <c r="G532" s="5" t="n">
        <v>9.6</v>
      </c>
      <c r="H532" s="5" t="n">
        <v>10</v>
      </c>
      <c r="I532" s="5" t="n">
        <v>2.1</v>
      </c>
      <c r="J532" s="5" t="n">
        <v>115.9</v>
      </c>
      <c r="K532" s="5" t="n">
        <v>11</v>
      </c>
    </row>
    <row r="533" customFormat="false" ht="15" hidden="false" customHeight="false" outlineLevel="0" collapsed="false">
      <c r="A533" s="5" t="n">
        <v>85</v>
      </c>
      <c r="B533" s="5" t="n">
        <v>40</v>
      </c>
      <c r="C533" s="5" t="n">
        <v>26.6</v>
      </c>
      <c r="D533" s="5" t="n">
        <v>16.7</v>
      </c>
      <c r="E533" s="5" t="n">
        <v>9.2</v>
      </c>
      <c r="F533" s="5" t="n">
        <v>0</v>
      </c>
      <c r="G533" s="5" t="n">
        <v>13</v>
      </c>
      <c r="H533" s="5" t="n">
        <v>12.4</v>
      </c>
      <c r="I533" s="5" t="n">
        <v>2.6</v>
      </c>
      <c r="J533" s="5" t="n">
        <v>155.7</v>
      </c>
      <c r="K533" s="5" t="n">
        <v>11</v>
      </c>
    </row>
    <row r="534" customFormat="false" ht="15" hidden="false" customHeight="false" outlineLevel="0" collapsed="false">
      <c r="A534" s="5" t="n">
        <v>90</v>
      </c>
      <c r="B534" s="5" t="n">
        <v>40</v>
      </c>
      <c r="C534" s="5" t="n">
        <v>24</v>
      </c>
      <c r="D534" s="5" t="n">
        <v>18.1</v>
      </c>
      <c r="E534" s="5" t="n">
        <v>9.4</v>
      </c>
      <c r="F534" s="5" t="n">
        <v>0</v>
      </c>
      <c r="G534" s="5" t="n">
        <v>13</v>
      </c>
      <c r="H534" s="5" t="n">
        <v>12.6</v>
      </c>
      <c r="I534" s="5" t="n">
        <v>2.4</v>
      </c>
      <c r="J534" s="5" t="n">
        <v>201.7</v>
      </c>
      <c r="K534" s="5" t="n">
        <v>11</v>
      </c>
    </row>
    <row r="535" customFormat="false" ht="15" hidden="false" customHeight="false" outlineLevel="0" collapsed="false">
      <c r="A535" s="5" t="n">
        <v>95</v>
      </c>
      <c r="B535" s="5" t="n">
        <v>40</v>
      </c>
      <c r="C535" s="5" t="n">
        <v>29</v>
      </c>
      <c r="D535" s="5" t="n">
        <v>16.9</v>
      </c>
      <c r="E535" s="5" t="n">
        <v>8.9</v>
      </c>
      <c r="F535" s="5" t="n">
        <v>0</v>
      </c>
      <c r="G535" s="5" t="n">
        <v>12.8</v>
      </c>
      <c r="H535" s="5" t="n">
        <v>11.6</v>
      </c>
      <c r="I535" s="5" t="n">
        <v>2.4</v>
      </c>
      <c r="J535" s="5" t="n">
        <v>238.3</v>
      </c>
      <c r="K535" s="5" t="n">
        <v>11</v>
      </c>
    </row>
    <row r="536" customFormat="false" ht="15" hidden="false" customHeight="false" outlineLevel="0" collapsed="false">
      <c r="A536" s="5" t="n">
        <v>100</v>
      </c>
      <c r="B536" s="5" t="n">
        <v>40</v>
      </c>
      <c r="C536" s="5" t="n">
        <v>28.6</v>
      </c>
      <c r="D536" s="5" t="n">
        <v>17</v>
      </c>
      <c r="E536" s="5" t="n">
        <v>8.6</v>
      </c>
      <c r="F536" s="5" t="n">
        <v>0</v>
      </c>
      <c r="G536" s="5" t="n">
        <v>18.4</v>
      </c>
      <c r="H536" s="5" t="n">
        <v>20.5</v>
      </c>
      <c r="I536" s="5" t="n">
        <v>2.4</v>
      </c>
      <c r="J536" s="5" t="n">
        <v>282.1</v>
      </c>
      <c r="K536" s="5" t="n">
        <v>11</v>
      </c>
    </row>
    <row r="537" customFormat="false" ht="15" hidden="false" customHeight="false" outlineLevel="0" collapsed="false">
      <c r="A537" s="5" t="n">
        <v>105</v>
      </c>
      <c r="B537" s="5" t="n">
        <v>40</v>
      </c>
      <c r="C537" s="5" t="n">
        <v>24.6</v>
      </c>
      <c r="D537" s="5" t="n">
        <v>17.3</v>
      </c>
      <c r="E537" s="5" t="n">
        <v>9.2</v>
      </c>
      <c r="F537" s="5" t="n">
        <v>0</v>
      </c>
      <c r="G537" s="5" t="n">
        <v>11.8</v>
      </c>
      <c r="H537" s="5" t="n">
        <v>11.8</v>
      </c>
      <c r="I537" s="5" t="n">
        <v>2.4</v>
      </c>
      <c r="J537" s="5" t="n">
        <v>327.9</v>
      </c>
      <c r="K537" s="5" t="n">
        <v>11</v>
      </c>
    </row>
    <row r="538" customFormat="false" ht="15" hidden="false" customHeight="false" outlineLevel="0" collapsed="false">
      <c r="A538" s="5" t="n">
        <v>110</v>
      </c>
      <c r="B538" s="5" t="n">
        <v>40</v>
      </c>
      <c r="C538" s="5" t="n">
        <v>26.8</v>
      </c>
      <c r="D538" s="5" t="n">
        <v>16.4</v>
      </c>
      <c r="E538" s="5" t="n">
        <v>8.8</v>
      </c>
      <c r="F538" s="5" t="n">
        <v>0</v>
      </c>
      <c r="G538" s="5" t="n">
        <v>12.2</v>
      </c>
      <c r="H538" s="5" t="n">
        <v>11.8</v>
      </c>
      <c r="I538" s="5" t="n">
        <v>2.6</v>
      </c>
      <c r="J538" s="5" t="n">
        <v>67.1</v>
      </c>
      <c r="K538" s="5" t="n">
        <v>11</v>
      </c>
    </row>
    <row r="539" customFormat="false" ht="15" hidden="false" customHeight="false" outlineLevel="0" collapsed="false">
      <c r="A539" s="5" t="n">
        <v>115</v>
      </c>
      <c r="B539" s="5" t="n">
        <v>40</v>
      </c>
      <c r="C539" s="5" t="n">
        <v>26.6</v>
      </c>
      <c r="D539" s="5" t="n">
        <v>17.9</v>
      </c>
      <c r="E539" s="5" t="n">
        <v>9.3</v>
      </c>
      <c r="F539" s="5" t="n">
        <v>0</v>
      </c>
      <c r="G539" s="5" t="n">
        <v>12.4</v>
      </c>
      <c r="H539" s="5" t="n">
        <v>12.4</v>
      </c>
      <c r="I539" s="5" t="n">
        <v>2.5</v>
      </c>
      <c r="J539" s="5" t="n">
        <v>110.9</v>
      </c>
      <c r="K539" s="5" t="n">
        <v>11</v>
      </c>
    </row>
    <row r="540" customFormat="false" ht="15" hidden="false" customHeight="false" outlineLevel="0" collapsed="false">
      <c r="A540" s="5" t="n">
        <v>120</v>
      </c>
      <c r="B540" s="5" t="n">
        <v>40</v>
      </c>
      <c r="C540" s="5" t="n">
        <v>28.4</v>
      </c>
      <c r="D540" s="5" t="n">
        <v>16.7</v>
      </c>
      <c r="E540" s="5" t="n">
        <v>8.9</v>
      </c>
      <c r="F540" s="5" t="n">
        <v>0</v>
      </c>
      <c r="G540" s="5" t="n">
        <v>12.6</v>
      </c>
      <c r="H540" s="5" t="n">
        <v>12.8</v>
      </c>
      <c r="I540" s="5" t="n">
        <v>2.9</v>
      </c>
      <c r="J540" s="5" t="n">
        <v>155.3</v>
      </c>
      <c r="K540" s="5" t="n">
        <v>11</v>
      </c>
    </row>
    <row r="541" customFormat="false" ht="15" hidden="false" customHeight="false" outlineLevel="0" collapsed="false">
      <c r="A541" s="5" t="n">
        <v>125</v>
      </c>
      <c r="B541" s="5" t="n">
        <v>40</v>
      </c>
      <c r="C541" s="5" t="n">
        <v>24.4</v>
      </c>
      <c r="D541" s="5" t="n">
        <v>17</v>
      </c>
      <c r="E541" s="5" t="n">
        <v>8.9</v>
      </c>
      <c r="F541" s="5" t="n">
        <v>0</v>
      </c>
      <c r="G541" s="5" t="n">
        <v>11.9</v>
      </c>
      <c r="H541" s="5" t="n">
        <v>11.2</v>
      </c>
      <c r="I541" s="5" t="n">
        <v>2.3</v>
      </c>
      <c r="J541" s="5" t="n">
        <v>196.9</v>
      </c>
      <c r="K541" s="5" t="n">
        <v>11</v>
      </c>
    </row>
    <row r="542" customFormat="false" ht="15" hidden="false" customHeight="false" outlineLevel="0" collapsed="false">
      <c r="A542" s="5" t="n">
        <v>130</v>
      </c>
      <c r="B542" s="5" t="n">
        <v>40</v>
      </c>
      <c r="C542" s="5" t="n">
        <v>28</v>
      </c>
      <c r="D542" s="5" t="n">
        <v>18.1</v>
      </c>
      <c r="E542" s="5" t="n">
        <v>9.8</v>
      </c>
      <c r="F542" s="5" t="n">
        <v>0</v>
      </c>
      <c r="G542" s="5" t="n">
        <v>13.2</v>
      </c>
      <c r="H542" s="5" t="n">
        <v>13.2</v>
      </c>
      <c r="I542" s="5" t="n">
        <v>2.9</v>
      </c>
      <c r="J542" s="5" t="n">
        <v>238.1</v>
      </c>
      <c r="K542" s="5" t="n">
        <v>11</v>
      </c>
    </row>
    <row r="543" customFormat="false" ht="15" hidden="false" customHeight="false" outlineLevel="0" collapsed="false">
      <c r="A543" s="5" t="n">
        <v>135</v>
      </c>
      <c r="B543" s="5" t="n">
        <v>40</v>
      </c>
      <c r="C543" s="5" t="n">
        <v>24.8</v>
      </c>
      <c r="D543" s="5" t="n">
        <v>16.3</v>
      </c>
      <c r="E543" s="5" t="n">
        <v>8.9</v>
      </c>
      <c r="F543" s="5" t="n">
        <v>0</v>
      </c>
      <c r="G543" s="5" t="n">
        <v>11.6</v>
      </c>
      <c r="H543" s="5" t="n">
        <v>11.8</v>
      </c>
      <c r="I543" s="5" t="n">
        <v>2.7</v>
      </c>
      <c r="J543" s="5" t="n">
        <v>286.3</v>
      </c>
      <c r="K543" s="5" t="n">
        <v>11</v>
      </c>
    </row>
    <row r="544" customFormat="false" ht="15" hidden="false" customHeight="false" outlineLevel="0" collapsed="false">
      <c r="A544" s="5" t="n">
        <v>140</v>
      </c>
      <c r="B544" s="5" t="n">
        <v>40</v>
      </c>
      <c r="C544" s="5" t="n">
        <v>27</v>
      </c>
      <c r="D544" s="5" t="n">
        <v>18</v>
      </c>
      <c r="E544" s="5" t="n">
        <v>10.7</v>
      </c>
      <c r="F544" s="5" t="n">
        <v>0</v>
      </c>
      <c r="G544" s="5" t="n">
        <v>13.5</v>
      </c>
      <c r="H544" s="5" t="n">
        <v>13</v>
      </c>
      <c r="I544" s="5" t="n">
        <v>2.6</v>
      </c>
      <c r="J544" s="5" t="n">
        <v>330.3</v>
      </c>
      <c r="K544" s="5" t="n">
        <v>11</v>
      </c>
    </row>
    <row r="545" customFormat="false" ht="15" hidden="false" customHeight="false" outlineLevel="0" collapsed="false">
      <c r="A545" s="5" t="n">
        <v>145</v>
      </c>
      <c r="B545" s="5" t="n">
        <v>40</v>
      </c>
      <c r="C545" s="5" t="n">
        <v>25.2</v>
      </c>
      <c r="D545" s="5" t="n">
        <v>17.9</v>
      </c>
      <c r="E545" s="5" t="n">
        <v>9.9</v>
      </c>
      <c r="F545" s="5" t="n">
        <v>0</v>
      </c>
      <c r="G545" s="5" t="n">
        <v>13</v>
      </c>
      <c r="H545" s="5" t="n">
        <v>12</v>
      </c>
      <c r="I545" s="5" t="n">
        <v>2.5</v>
      </c>
      <c r="J545" s="5" t="n">
        <v>128</v>
      </c>
      <c r="K545" s="5" t="n">
        <v>11</v>
      </c>
    </row>
    <row r="546" customFormat="false" ht="15" hidden="false" customHeight="false" outlineLevel="0" collapsed="false">
      <c r="A546" s="5" t="n">
        <v>150</v>
      </c>
      <c r="B546" s="5" t="n">
        <v>40</v>
      </c>
      <c r="C546" s="5" t="n">
        <v>23.8</v>
      </c>
      <c r="D546" s="5" t="n">
        <v>16.7</v>
      </c>
      <c r="E546" s="5" t="n">
        <v>8.8</v>
      </c>
      <c r="F546" s="5" t="n">
        <v>0</v>
      </c>
      <c r="G546" s="5" t="n">
        <v>11.6</v>
      </c>
      <c r="H546" s="5" t="n">
        <v>10.8</v>
      </c>
      <c r="I546" s="5" t="n">
        <v>2.1</v>
      </c>
      <c r="J546" s="5" t="n">
        <v>109.2</v>
      </c>
      <c r="K546" s="5" t="n">
        <v>11</v>
      </c>
    </row>
    <row r="547" customFormat="false" ht="15" hidden="false" customHeight="false" outlineLevel="0" collapsed="false">
      <c r="A547" s="5" t="n">
        <v>155</v>
      </c>
      <c r="B547" s="5" t="n">
        <v>40</v>
      </c>
      <c r="C547" s="5" t="n">
        <v>23.8</v>
      </c>
      <c r="D547" s="5" t="n">
        <v>17.3</v>
      </c>
      <c r="E547" s="5" t="n">
        <v>9.3</v>
      </c>
      <c r="F547" s="5" t="n">
        <v>0</v>
      </c>
      <c r="G547" s="5" t="n">
        <v>11.2</v>
      </c>
      <c r="H547" s="5" t="n">
        <v>11.2</v>
      </c>
      <c r="I547" s="5" t="n">
        <v>2.3</v>
      </c>
      <c r="J547" s="5" t="n">
        <v>148.6</v>
      </c>
      <c r="K547" s="5" t="n">
        <v>11</v>
      </c>
    </row>
    <row r="548" customFormat="false" ht="15" hidden="false" customHeight="false" outlineLevel="0" collapsed="false">
      <c r="A548" s="5" t="n">
        <v>160</v>
      </c>
      <c r="B548" s="5" t="n">
        <v>40</v>
      </c>
      <c r="C548" s="5" t="n">
        <v>28.4</v>
      </c>
      <c r="D548" s="5" t="n">
        <v>16.8</v>
      </c>
      <c r="E548" s="5" t="n">
        <v>9.5</v>
      </c>
      <c r="F548" s="5" t="n">
        <v>0</v>
      </c>
      <c r="G548" s="5" t="n">
        <v>-77.2</v>
      </c>
      <c r="H548" s="5" t="n">
        <v>-117.3</v>
      </c>
      <c r="I548" s="5" t="n">
        <v>2.7</v>
      </c>
      <c r="J548" s="5" t="n">
        <v>196.1</v>
      </c>
      <c r="K548" s="5" t="n">
        <v>11</v>
      </c>
    </row>
    <row r="549" customFormat="false" ht="15" hidden="false" customHeight="false" outlineLevel="0" collapsed="false">
      <c r="A549" s="5" t="n">
        <v>165</v>
      </c>
      <c r="B549" s="5" t="n">
        <v>40</v>
      </c>
      <c r="C549" s="5" t="n">
        <v>31.4</v>
      </c>
      <c r="D549" s="5" t="n">
        <v>16.6</v>
      </c>
      <c r="E549" s="5" t="n">
        <v>9</v>
      </c>
      <c r="F549" s="5" t="n">
        <v>0</v>
      </c>
      <c r="G549" s="5" t="n">
        <v>13.2</v>
      </c>
      <c r="H549" s="5" t="n">
        <v>12.6</v>
      </c>
      <c r="I549" s="5" t="n">
        <v>2.4</v>
      </c>
      <c r="J549" s="5" t="n">
        <v>241.2</v>
      </c>
      <c r="K549" s="5" t="n">
        <v>11</v>
      </c>
    </row>
    <row r="550" customFormat="false" ht="15" hidden="false" customHeight="false" outlineLevel="0" collapsed="false">
      <c r="A550" s="5" t="n">
        <v>170</v>
      </c>
      <c r="B550" s="5" t="n">
        <v>40</v>
      </c>
      <c r="C550" s="5" t="n">
        <v>24.2</v>
      </c>
      <c r="D550" s="5" t="n">
        <v>17.3</v>
      </c>
      <c r="E550" s="5" t="n">
        <v>8.9</v>
      </c>
      <c r="F550" s="5" t="n">
        <v>0</v>
      </c>
      <c r="G550" s="5" t="n">
        <v>11</v>
      </c>
      <c r="H550" s="5" t="n">
        <v>10.8</v>
      </c>
      <c r="I550" s="5" t="n">
        <v>2.3</v>
      </c>
      <c r="J550" s="5" t="n">
        <v>282.6</v>
      </c>
      <c r="K550" s="5" t="n">
        <v>11</v>
      </c>
    </row>
    <row r="551" customFormat="false" ht="15" hidden="false" customHeight="false" outlineLevel="0" collapsed="false">
      <c r="A551" s="5" t="n">
        <v>175</v>
      </c>
      <c r="B551" s="5" t="n">
        <v>40</v>
      </c>
      <c r="C551" s="5" t="n">
        <v>26.8</v>
      </c>
      <c r="D551" s="5" t="n">
        <v>22.3</v>
      </c>
      <c r="E551" s="5" t="n">
        <v>10.6</v>
      </c>
      <c r="F551" s="5" t="n">
        <v>0</v>
      </c>
      <c r="G551" s="5" t="n">
        <v>12.4</v>
      </c>
      <c r="H551" s="5" t="n">
        <v>12.6</v>
      </c>
      <c r="I551" s="5" t="n">
        <v>3</v>
      </c>
      <c r="J551" s="5" t="n">
        <v>326.8</v>
      </c>
      <c r="K551" s="5" t="n">
        <v>11</v>
      </c>
    </row>
    <row r="552" customFormat="false" ht="15" hidden="false" customHeight="false" outlineLevel="0" collapsed="false">
      <c r="A552" s="5" t="n">
        <v>180</v>
      </c>
      <c r="B552" s="5" t="n">
        <v>40</v>
      </c>
      <c r="C552" s="5" t="n">
        <v>26.2</v>
      </c>
      <c r="D552" s="5" t="n">
        <v>20.8</v>
      </c>
      <c r="E552" s="5" t="n">
        <v>10.8</v>
      </c>
      <c r="F552" s="5" t="n">
        <v>0</v>
      </c>
      <c r="G552" s="5" t="n">
        <v>12.9</v>
      </c>
      <c r="H552" s="5" t="n">
        <v>11.9</v>
      </c>
      <c r="I552" s="5" t="n">
        <v>2.6</v>
      </c>
      <c r="J552" s="5" t="n">
        <v>127.6</v>
      </c>
      <c r="K552" s="5" t="n">
        <v>11</v>
      </c>
    </row>
    <row r="553" customFormat="false" ht="15" hidden="false" customHeight="false" outlineLevel="0" collapsed="false">
      <c r="A553" s="5" t="n">
        <v>185</v>
      </c>
      <c r="B553" s="5" t="n">
        <v>40</v>
      </c>
      <c r="C553" s="5" t="n">
        <v>25.8</v>
      </c>
      <c r="D553" s="5" t="n">
        <v>19.7</v>
      </c>
      <c r="E553" s="5" t="n">
        <v>9.2</v>
      </c>
      <c r="F553" s="5" t="n">
        <v>0</v>
      </c>
      <c r="G553" s="5" t="n">
        <v>12.9</v>
      </c>
      <c r="H553" s="5" t="n">
        <v>12.5</v>
      </c>
      <c r="I553" s="5" t="n">
        <v>2.8</v>
      </c>
      <c r="J553" s="5" t="n">
        <v>108.4</v>
      </c>
      <c r="K553" s="5" t="n">
        <v>11</v>
      </c>
    </row>
    <row r="554" customFormat="false" ht="15" hidden="false" customHeight="false" outlineLevel="0" collapsed="false">
      <c r="A554" s="5" t="n">
        <v>190</v>
      </c>
      <c r="B554" s="5" t="n">
        <v>40</v>
      </c>
      <c r="C554" s="5" t="n">
        <v>24.6</v>
      </c>
      <c r="D554" s="5" t="n">
        <v>18.9</v>
      </c>
      <c r="E554" s="5" t="n">
        <v>10.8</v>
      </c>
      <c r="F554" s="5" t="n">
        <v>0</v>
      </c>
      <c r="G554" s="5" t="n">
        <v>10.8</v>
      </c>
      <c r="H554" s="5" t="n">
        <v>12.7</v>
      </c>
      <c r="I554" s="5" t="n">
        <v>2.1</v>
      </c>
      <c r="J554" s="5" t="n">
        <v>153.2</v>
      </c>
      <c r="K554" s="5" t="n">
        <v>11</v>
      </c>
    </row>
    <row r="555" customFormat="false" ht="15" hidden="false" customHeight="false" outlineLevel="0" collapsed="false">
      <c r="A555" s="5" t="n">
        <v>195</v>
      </c>
      <c r="B555" s="5" t="n">
        <v>40</v>
      </c>
      <c r="C555" s="5" t="n">
        <v>32</v>
      </c>
      <c r="D555" s="5" t="n">
        <v>19.1</v>
      </c>
      <c r="E555" s="5" t="n">
        <v>10.4</v>
      </c>
      <c r="F555" s="5" t="n">
        <v>0</v>
      </c>
      <c r="G555" s="5" t="n">
        <v>-5.3</v>
      </c>
      <c r="H555" s="5" t="n">
        <v>-0.8</v>
      </c>
      <c r="I555" s="5" t="n">
        <v>3</v>
      </c>
      <c r="J555" s="5" t="n">
        <v>200.6</v>
      </c>
      <c r="K555" s="5" t="n">
        <v>11</v>
      </c>
    </row>
    <row r="556" customFormat="false" ht="15" hidden="false" customHeight="false" outlineLevel="0" collapsed="false">
      <c r="A556" s="5" t="n">
        <v>200</v>
      </c>
      <c r="B556" s="5" t="n">
        <v>40</v>
      </c>
      <c r="C556" s="5" t="n">
        <v>24.4</v>
      </c>
      <c r="D556" s="5" t="n">
        <v>17.8</v>
      </c>
      <c r="E556" s="5" t="n">
        <v>9</v>
      </c>
      <c r="F556" s="5" t="n">
        <v>0</v>
      </c>
      <c r="G556" s="5" t="n">
        <v>11.8</v>
      </c>
      <c r="H556" s="5" t="n">
        <v>10.8</v>
      </c>
      <c r="I556" s="5" t="n">
        <v>2.3</v>
      </c>
      <c r="J556" s="5" t="n">
        <v>254.6</v>
      </c>
      <c r="K556" s="5" t="n">
        <v>11</v>
      </c>
    </row>
    <row r="557" customFormat="false" ht="15" hidden="false" customHeight="false" outlineLevel="0" collapsed="false">
      <c r="A557" s="5" t="n">
        <v>205</v>
      </c>
      <c r="B557" s="5" t="n">
        <v>40</v>
      </c>
      <c r="C557" s="5" t="n">
        <v>25</v>
      </c>
      <c r="D557" s="5" t="n">
        <v>18.7</v>
      </c>
      <c r="E557" s="5" t="n">
        <v>8.9</v>
      </c>
      <c r="F557" s="5" t="n">
        <v>0</v>
      </c>
      <c r="G557" s="5" t="n">
        <v>10</v>
      </c>
      <c r="H557" s="5" t="n">
        <v>11.4</v>
      </c>
      <c r="I557" s="5" t="n">
        <v>2</v>
      </c>
      <c r="J557" s="5" t="n">
        <v>295.4</v>
      </c>
      <c r="K557" s="5" t="n">
        <v>11</v>
      </c>
    </row>
    <row r="558" customFormat="false" ht="15" hidden="false" customHeight="false" outlineLevel="0" collapsed="false">
      <c r="A558" s="5" t="n">
        <v>210</v>
      </c>
      <c r="B558" s="5" t="n">
        <v>40</v>
      </c>
      <c r="C558" s="5" t="n">
        <v>25.2</v>
      </c>
      <c r="D558" s="5" t="n">
        <v>18.5</v>
      </c>
      <c r="E558" s="5" t="n">
        <v>10.4</v>
      </c>
      <c r="F558" s="5" t="n">
        <v>0</v>
      </c>
      <c r="G558" s="5" t="n">
        <v>11.6</v>
      </c>
      <c r="H558" s="5" t="n">
        <v>11.1</v>
      </c>
      <c r="I558" s="5" t="n">
        <v>2.3</v>
      </c>
      <c r="J558" s="5" t="n">
        <v>332.9</v>
      </c>
      <c r="K558" s="5" t="n">
        <v>11</v>
      </c>
    </row>
    <row r="559" customFormat="false" ht="15" hidden="false" customHeight="false" outlineLevel="0" collapsed="false">
      <c r="A559" s="5" t="n">
        <v>215</v>
      </c>
      <c r="B559" s="5" t="n">
        <v>40</v>
      </c>
      <c r="C559" s="5" t="n">
        <v>25.4</v>
      </c>
      <c r="D559" s="5" t="n">
        <v>18.3</v>
      </c>
      <c r="E559" s="5" t="n">
        <v>8.8</v>
      </c>
      <c r="F559" s="5" t="n">
        <v>0</v>
      </c>
      <c r="G559" s="5" t="n">
        <v>12.8</v>
      </c>
      <c r="H559" s="5" t="n">
        <v>11.4</v>
      </c>
      <c r="I559" s="5" t="n">
        <v>2.2</v>
      </c>
      <c r="J559" s="5" t="n">
        <v>69.1</v>
      </c>
      <c r="K559" s="5" t="n">
        <v>11</v>
      </c>
    </row>
    <row r="560" customFormat="false" ht="15" hidden="false" customHeight="false" outlineLevel="0" collapsed="false">
      <c r="A560" s="5" t="n">
        <v>220</v>
      </c>
      <c r="B560" s="5" t="n">
        <v>40</v>
      </c>
      <c r="C560" s="5" t="n">
        <v>24.8</v>
      </c>
      <c r="D560" s="5" t="n">
        <v>16.9</v>
      </c>
      <c r="E560" s="5" t="n">
        <v>8</v>
      </c>
      <c r="F560" s="5" t="n">
        <v>0</v>
      </c>
      <c r="G560" s="5" t="n">
        <v>9.2</v>
      </c>
      <c r="H560" s="5" t="n">
        <v>10.2</v>
      </c>
      <c r="I560" s="5" t="n">
        <v>1.7</v>
      </c>
      <c r="J560" s="5" t="n">
        <v>109.7</v>
      </c>
      <c r="K560" s="5" t="n">
        <v>11</v>
      </c>
    </row>
    <row r="561" customFormat="false" ht="15" hidden="false" customHeight="false" outlineLevel="0" collapsed="false">
      <c r="A561" s="5" t="n">
        <v>225</v>
      </c>
      <c r="B561" s="5" t="n">
        <v>40</v>
      </c>
      <c r="C561" s="5" t="n">
        <v>34.8</v>
      </c>
      <c r="D561" s="5" t="n">
        <v>18.7</v>
      </c>
      <c r="E561" s="5" t="n">
        <v>8.9</v>
      </c>
      <c r="F561" s="5" t="n">
        <v>0</v>
      </c>
      <c r="G561" s="5" t="n">
        <v>2</v>
      </c>
      <c r="H561" s="5" t="n">
        <v>5.5</v>
      </c>
      <c r="I561" s="5" t="n">
        <v>2.3</v>
      </c>
      <c r="J561" s="5" t="n">
        <v>155.2</v>
      </c>
      <c r="K561" s="5" t="n">
        <v>11</v>
      </c>
    </row>
    <row r="562" customFormat="false" ht="15" hidden="false" customHeight="false" outlineLevel="0" collapsed="false">
      <c r="A562" s="5" t="n">
        <v>230</v>
      </c>
      <c r="B562" s="5" t="n">
        <v>40</v>
      </c>
      <c r="C562" s="5" t="n">
        <v>27.8</v>
      </c>
      <c r="D562" s="5" t="n">
        <v>18.5</v>
      </c>
      <c r="E562" s="5" t="n">
        <v>10.5</v>
      </c>
      <c r="F562" s="5" t="n">
        <v>0</v>
      </c>
      <c r="G562" s="5" t="n">
        <v>13.4</v>
      </c>
      <c r="H562" s="5" t="n">
        <v>12.6</v>
      </c>
      <c r="I562" s="5" t="n">
        <v>2.8</v>
      </c>
      <c r="J562" s="5" t="n">
        <v>210.3</v>
      </c>
      <c r="K562" s="5" t="n">
        <v>11</v>
      </c>
    </row>
    <row r="563" customFormat="false" ht="15" hidden="false" customHeight="false" outlineLevel="0" collapsed="false">
      <c r="A563" s="5" t="n">
        <v>235</v>
      </c>
      <c r="B563" s="5" t="n">
        <v>40</v>
      </c>
      <c r="C563" s="5" t="n">
        <v>22.8</v>
      </c>
      <c r="D563" s="5" t="n">
        <v>17.9</v>
      </c>
      <c r="E563" s="5" t="n">
        <v>9</v>
      </c>
      <c r="F563" s="5" t="n">
        <v>0</v>
      </c>
      <c r="G563" s="5" t="n">
        <v>9.8</v>
      </c>
      <c r="H563" s="5" t="n">
        <v>11.6</v>
      </c>
      <c r="I563" s="5" t="n">
        <v>1.8</v>
      </c>
      <c r="J563" s="5" t="n">
        <v>249.7</v>
      </c>
      <c r="K563" s="5" t="n">
        <v>11</v>
      </c>
    </row>
    <row r="564" customFormat="false" ht="15" hidden="false" customHeight="false" outlineLevel="0" collapsed="false">
      <c r="A564" s="5" t="n">
        <v>240</v>
      </c>
      <c r="B564" s="5" t="n">
        <v>40</v>
      </c>
      <c r="C564" s="5" t="n">
        <v>25.2</v>
      </c>
      <c r="D564" s="5" t="n">
        <v>18.7</v>
      </c>
      <c r="E564" s="5" t="n">
        <v>10.6</v>
      </c>
      <c r="F564" s="5" t="n">
        <v>0</v>
      </c>
      <c r="G564" s="5" t="n">
        <v>13.8</v>
      </c>
      <c r="H564" s="5" t="n">
        <v>12.3</v>
      </c>
      <c r="I564" s="5" t="n">
        <v>2.8</v>
      </c>
      <c r="J564" s="5" t="n">
        <v>288.3</v>
      </c>
      <c r="K564" s="5" t="n">
        <v>11</v>
      </c>
    </row>
    <row r="565" customFormat="false" ht="15" hidden="false" customHeight="false" outlineLevel="0" collapsed="false">
      <c r="A565" s="5" t="n">
        <v>245</v>
      </c>
      <c r="B565" s="5" t="n">
        <v>40</v>
      </c>
      <c r="C565" s="5" t="n">
        <v>24.2</v>
      </c>
      <c r="D565" s="5" t="n">
        <v>17.2</v>
      </c>
      <c r="E565" s="5" t="n">
        <v>8.8</v>
      </c>
      <c r="F565" s="5" t="n">
        <v>0</v>
      </c>
      <c r="G565" s="5" t="n">
        <v>10.8</v>
      </c>
      <c r="H565" s="5" t="n">
        <v>10.2</v>
      </c>
      <c r="I565" s="5" t="n">
        <v>2.2</v>
      </c>
      <c r="J565" s="5" t="n">
        <v>323.5</v>
      </c>
      <c r="K565" s="5" t="n">
        <v>11</v>
      </c>
    </row>
    <row r="566" customFormat="false" ht="15" hidden="false" customHeight="false" outlineLevel="0" collapsed="false">
      <c r="A566" s="5" t="n">
        <v>250</v>
      </c>
      <c r="B566" s="5" t="n">
        <v>40</v>
      </c>
      <c r="C566" s="5" t="n">
        <v>27.6</v>
      </c>
      <c r="D566" s="5" t="n">
        <v>19.7</v>
      </c>
      <c r="E566" s="5" t="n">
        <v>11.3</v>
      </c>
      <c r="F566" s="5" t="n">
        <v>0</v>
      </c>
      <c r="G566" s="5" t="n">
        <v>15.3</v>
      </c>
      <c r="H566" s="5" t="n">
        <v>14.9</v>
      </c>
      <c r="I566" s="5" t="n">
        <v>2.7</v>
      </c>
      <c r="J566" s="5" t="n">
        <v>183.1</v>
      </c>
      <c r="K566" s="5" t="n">
        <v>11</v>
      </c>
    </row>
    <row r="567" customFormat="false" ht="15" hidden="false" customHeight="false" outlineLevel="0" collapsed="false">
      <c r="A567" s="5" t="n">
        <v>255</v>
      </c>
      <c r="B567" s="5" t="n">
        <v>40</v>
      </c>
      <c r="C567" s="5" t="n">
        <v>31.2</v>
      </c>
      <c r="D567" s="5" t="n">
        <v>17.8</v>
      </c>
      <c r="E567" s="5" t="n">
        <v>1.3</v>
      </c>
      <c r="F567" s="5" t="n">
        <v>0</v>
      </c>
      <c r="G567" s="5" t="n">
        <v>3.4</v>
      </c>
      <c r="H567" s="5" t="n">
        <v>5.1</v>
      </c>
      <c r="I567" s="5" t="n">
        <v>2.6</v>
      </c>
      <c r="J567" s="5" t="n">
        <v>113.3</v>
      </c>
      <c r="K567" s="5" t="n">
        <v>11</v>
      </c>
    </row>
    <row r="568" customFormat="false" ht="15" hidden="false" customHeight="false" outlineLevel="0" collapsed="false">
      <c r="A568" s="5" t="n">
        <v>260</v>
      </c>
      <c r="B568" s="5" t="n">
        <v>40</v>
      </c>
      <c r="C568" s="5" t="n">
        <v>28.2</v>
      </c>
      <c r="D568" s="5" t="n">
        <v>19.3</v>
      </c>
      <c r="E568" s="5" t="n">
        <v>9.2</v>
      </c>
      <c r="F568" s="5" t="n">
        <v>0</v>
      </c>
      <c r="G568" s="5" t="n">
        <v>12</v>
      </c>
      <c r="H568" s="5" t="n">
        <v>13.5</v>
      </c>
      <c r="I568" s="5" t="n">
        <v>2.8</v>
      </c>
      <c r="J568" s="5" t="n">
        <v>162.7</v>
      </c>
      <c r="K568" s="5" t="n">
        <v>11</v>
      </c>
    </row>
    <row r="569" customFormat="false" ht="15" hidden="false" customHeight="false" outlineLevel="0" collapsed="false">
      <c r="A569" s="5" t="n">
        <v>265</v>
      </c>
      <c r="B569" s="5" t="n">
        <v>40</v>
      </c>
      <c r="C569" s="5" t="n">
        <v>25.4</v>
      </c>
      <c r="D569" s="5" t="n">
        <v>18.5</v>
      </c>
      <c r="E569" s="5" t="n">
        <v>9.4</v>
      </c>
      <c r="F569" s="5" t="n">
        <v>0</v>
      </c>
      <c r="G569" s="5" t="n">
        <v>14.1</v>
      </c>
      <c r="H569" s="5" t="n">
        <v>12.3</v>
      </c>
      <c r="I569" s="5" t="n">
        <v>2.4</v>
      </c>
      <c r="J569" s="5" t="n">
        <v>211.1</v>
      </c>
      <c r="K569" s="5" t="n">
        <v>11</v>
      </c>
    </row>
    <row r="570" customFormat="false" ht="15" hidden="false" customHeight="false" outlineLevel="0" collapsed="false">
      <c r="A570" s="5" t="n">
        <v>270</v>
      </c>
      <c r="B570" s="5" t="n">
        <v>40</v>
      </c>
      <c r="C570" s="5" t="n">
        <v>26</v>
      </c>
      <c r="D570" s="5" t="n">
        <v>20.8</v>
      </c>
      <c r="E570" s="5" t="n">
        <v>11</v>
      </c>
      <c r="F570" s="5" t="n">
        <v>0</v>
      </c>
      <c r="G570" s="5" t="n">
        <v>15.7</v>
      </c>
      <c r="H570" s="5" t="n">
        <v>12.8</v>
      </c>
      <c r="I570" s="5" t="n">
        <v>2.7</v>
      </c>
      <c r="J570" s="5" t="n">
        <v>254.3</v>
      </c>
      <c r="K570" s="5" t="n">
        <v>11</v>
      </c>
    </row>
    <row r="571" customFormat="false" ht="15" hidden="false" customHeight="false" outlineLevel="0" collapsed="false">
      <c r="A571" s="5" t="n">
        <v>275</v>
      </c>
      <c r="B571" s="5" t="n">
        <v>40</v>
      </c>
      <c r="C571" s="5" t="n">
        <v>24.4</v>
      </c>
      <c r="D571" s="5" t="n">
        <v>19.5</v>
      </c>
      <c r="E571" s="5" t="n">
        <v>10</v>
      </c>
      <c r="F571" s="5" t="n">
        <v>0</v>
      </c>
      <c r="G571" s="5" t="n">
        <v>11.4</v>
      </c>
      <c r="H571" s="5" t="n">
        <v>11.8</v>
      </c>
      <c r="I571" s="5" t="n">
        <v>2.3</v>
      </c>
      <c r="J571" s="5" t="n">
        <v>297.1</v>
      </c>
      <c r="K571" s="5" t="n">
        <v>11</v>
      </c>
    </row>
    <row r="572" customFormat="false" ht="15" hidden="false" customHeight="false" outlineLevel="0" collapsed="false">
      <c r="A572" s="5" t="n">
        <v>280</v>
      </c>
      <c r="B572" s="5" t="n">
        <v>40</v>
      </c>
      <c r="C572" s="5" t="n">
        <v>24.6</v>
      </c>
      <c r="D572" s="5" t="n">
        <v>18.5</v>
      </c>
      <c r="E572" s="5" t="n">
        <v>8.6</v>
      </c>
      <c r="F572" s="5" t="n">
        <v>0</v>
      </c>
      <c r="G572" s="5" t="n">
        <v>11.8</v>
      </c>
      <c r="H572" s="5" t="n">
        <v>11.8</v>
      </c>
      <c r="I572" s="5" t="n">
        <v>2.1</v>
      </c>
      <c r="J572" s="5" t="n">
        <v>336.1</v>
      </c>
      <c r="K572" s="5" t="n">
        <v>11</v>
      </c>
    </row>
    <row r="573" customFormat="false" ht="15" hidden="false" customHeight="false" outlineLevel="0" collapsed="false">
      <c r="A573" s="5" t="n">
        <v>285</v>
      </c>
      <c r="B573" s="5" t="n">
        <v>40</v>
      </c>
      <c r="C573" s="5" t="n">
        <v>24.6</v>
      </c>
      <c r="D573" s="5" t="n">
        <v>23.9</v>
      </c>
      <c r="E573" s="5" t="n">
        <v>11.1</v>
      </c>
      <c r="F573" s="5" t="n">
        <v>0</v>
      </c>
      <c r="G573" s="5" t="n">
        <v>13.1</v>
      </c>
      <c r="H573" s="5" t="n">
        <v>11.1</v>
      </c>
      <c r="I573" s="5" t="n">
        <v>2.7</v>
      </c>
      <c r="J573" s="5" t="n">
        <v>73.5</v>
      </c>
      <c r="K573" s="5" t="n">
        <v>11</v>
      </c>
    </row>
    <row r="574" customFormat="false" ht="15" hidden="false" customHeight="false" outlineLevel="0" collapsed="false">
      <c r="A574" s="5" t="n">
        <v>290</v>
      </c>
      <c r="B574" s="5" t="n">
        <v>40</v>
      </c>
      <c r="C574" s="5" t="n">
        <v>24</v>
      </c>
      <c r="D574" s="5" t="n">
        <v>17.6</v>
      </c>
      <c r="E574" s="5" t="n">
        <v>10</v>
      </c>
      <c r="F574" s="5" t="n">
        <v>0</v>
      </c>
      <c r="G574" s="5" t="n">
        <v>11.4</v>
      </c>
      <c r="H574" s="5" t="n">
        <v>13</v>
      </c>
      <c r="I574" s="5" t="n">
        <v>2.4</v>
      </c>
      <c r="J574" s="5" t="n">
        <v>116.7</v>
      </c>
      <c r="K574" s="5" t="n">
        <v>11</v>
      </c>
    </row>
    <row r="575" customFormat="false" ht="15" hidden="false" customHeight="false" outlineLevel="0" collapsed="false">
      <c r="A575" s="5" t="n">
        <v>295</v>
      </c>
      <c r="B575" s="5" t="n">
        <v>40</v>
      </c>
      <c r="C575" s="5" t="n">
        <v>27</v>
      </c>
      <c r="D575" s="5" t="n">
        <v>17.6</v>
      </c>
      <c r="E575" s="5" t="n">
        <v>8.8</v>
      </c>
      <c r="F575" s="5" t="n">
        <v>0</v>
      </c>
      <c r="G575" s="5" t="n">
        <v>11.6</v>
      </c>
      <c r="H575" s="5" t="n">
        <v>11.6</v>
      </c>
      <c r="I575" s="5" t="n">
        <v>2.2</v>
      </c>
      <c r="J575" s="5" t="n">
        <v>159.7</v>
      </c>
      <c r="K575" s="5" t="n">
        <v>11</v>
      </c>
    </row>
    <row r="576" customFormat="false" ht="15" hidden="false" customHeight="false" outlineLevel="0" collapsed="false">
      <c r="A576" s="5" t="n">
        <v>300</v>
      </c>
      <c r="B576" s="5" t="n">
        <v>40</v>
      </c>
      <c r="C576" s="5" t="n">
        <v>34.6</v>
      </c>
      <c r="D576" s="5" t="n">
        <v>17.8</v>
      </c>
      <c r="E576" s="5" t="n">
        <v>9.4</v>
      </c>
      <c r="F576" s="5" t="n">
        <v>0</v>
      </c>
      <c r="G576" s="5" t="n">
        <v>8</v>
      </c>
      <c r="H576" s="5" t="n">
        <v>8.5</v>
      </c>
      <c r="I576" s="5" t="n">
        <v>2.6</v>
      </c>
      <c r="J576" s="5" t="n">
        <v>206.1</v>
      </c>
      <c r="K576" s="5" t="n">
        <v>11</v>
      </c>
    </row>
    <row r="577" customFormat="false" ht="15" hidden="false" customHeight="false" outlineLevel="0" collapsed="false">
      <c r="A577" s="5" t="n">
        <v>305</v>
      </c>
      <c r="B577" s="5" t="n">
        <v>40</v>
      </c>
      <c r="C577" s="5" t="n">
        <v>24.6</v>
      </c>
      <c r="D577" s="5" t="n">
        <v>17.8</v>
      </c>
      <c r="E577" s="5" t="n">
        <v>10.6</v>
      </c>
      <c r="F577" s="5" t="n">
        <v>0</v>
      </c>
      <c r="G577" s="5" t="n">
        <v>12.6</v>
      </c>
      <c r="H577" s="5" t="n">
        <v>12</v>
      </c>
      <c r="I577" s="5" t="n">
        <v>2.2</v>
      </c>
      <c r="J577" s="5" t="n">
        <v>255.3</v>
      </c>
      <c r="K577" s="5" t="n">
        <v>11</v>
      </c>
    </row>
    <row r="578" customFormat="false" ht="15" hidden="false" customHeight="false" outlineLevel="0" collapsed="false">
      <c r="A578" s="5" t="n">
        <v>310</v>
      </c>
      <c r="B578" s="5" t="n">
        <v>40</v>
      </c>
      <c r="C578" s="5" t="n">
        <v>26.6</v>
      </c>
      <c r="D578" s="5" t="n">
        <v>19.1</v>
      </c>
      <c r="E578" s="5" t="n">
        <v>10.2</v>
      </c>
      <c r="F578" s="5" t="n">
        <v>0</v>
      </c>
      <c r="G578" s="5" t="n">
        <v>12.8</v>
      </c>
      <c r="H578" s="5" t="n">
        <v>13.3</v>
      </c>
      <c r="I578" s="5" t="n">
        <v>2.6</v>
      </c>
      <c r="J578" s="5" t="n">
        <v>295.5</v>
      </c>
      <c r="K578" s="5" t="n">
        <v>11</v>
      </c>
    </row>
    <row r="579" customFormat="false" ht="15" hidden="false" customHeight="false" outlineLevel="0" collapsed="false">
      <c r="A579" s="5" t="n">
        <v>315</v>
      </c>
      <c r="B579" s="5" t="n">
        <v>40</v>
      </c>
      <c r="C579" s="5" t="n">
        <v>25.6</v>
      </c>
      <c r="D579" s="5" t="n">
        <v>18.1</v>
      </c>
      <c r="E579" s="5" t="n">
        <v>10</v>
      </c>
      <c r="F579" s="5" t="n">
        <v>0</v>
      </c>
      <c r="G579" s="5" t="n">
        <v>12.9</v>
      </c>
      <c r="H579" s="5" t="n">
        <v>12</v>
      </c>
      <c r="I579" s="5" t="n">
        <v>2.7</v>
      </c>
      <c r="J579" s="5" t="n">
        <v>223.1</v>
      </c>
      <c r="K579" s="5" t="n">
        <v>11</v>
      </c>
    </row>
    <row r="580" customFormat="false" ht="15" hidden="false" customHeight="false" outlineLevel="0" collapsed="false">
      <c r="A580" s="5" t="n">
        <v>320</v>
      </c>
      <c r="B580" s="5" t="n">
        <v>40</v>
      </c>
      <c r="C580" s="5" t="n">
        <v>25</v>
      </c>
      <c r="D580" s="5" t="n">
        <v>19.1</v>
      </c>
      <c r="E580" s="5" t="n">
        <v>10.9</v>
      </c>
      <c r="F580" s="5" t="n">
        <v>0</v>
      </c>
      <c r="G580" s="5" t="n">
        <v>14.5</v>
      </c>
      <c r="H580" s="5" t="n">
        <v>12.5</v>
      </c>
      <c r="I580" s="5" t="n">
        <v>2.6</v>
      </c>
      <c r="J580" s="5" t="n">
        <v>92.3</v>
      </c>
      <c r="K580" s="5" t="n">
        <v>11</v>
      </c>
    </row>
    <row r="581" customFormat="false" ht="15" hidden="false" customHeight="false" outlineLevel="0" collapsed="false">
      <c r="A581" s="5" t="n">
        <v>325</v>
      </c>
      <c r="B581" s="5" t="n">
        <v>40</v>
      </c>
      <c r="C581" s="5" t="n">
        <v>25.4</v>
      </c>
      <c r="D581" s="5" t="n">
        <v>18</v>
      </c>
      <c r="E581" s="5" t="n">
        <v>8.8</v>
      </c>
      <c r="F581" s="5" t="n">
        <v>0</v>
      </c>
      <c r="G581" s="5" t="n">
        <v>11</v>
      </c>
      <c r="H581" s="5" t="n">
        <v>12.3</v>
      </c>
      <c r="I581" s="5" t="n">
        <v>2</v>
      </c>
      <c r="J581" s="5" t="n">
        <v>135.1</v>
      </c>
      <c r="K581" s="5" t="n">
        <v>11</v>
      </c>
    </row>
    <row r="582" customFormat="false" ht="15" hidden="false" customHeight="false" outlineLevel="0" collapsed="false">
      <c r="A582" s="5" t="n">
        <v>330</v>
      </c>
      <c r="B582" s="5" t="n">
        <v>40</v>
      </c>
      <c r="C582" s="5" t="n">
        <v>25.8</v>
      </c>
      <c r="D582" s="5" t="n">
        <v>18.2</v>
      </c>
      <c r="E582" s="5" t="n">
        <v>9.5</v>
      </c>
      <c r="F582" s="5" t="n">
        <v>0</v>
      </c>
      <c r="G582" s="5" t="n">
        <v>12.4</v>
      </c>
      <c r="H582" s="5" t="n">
        <v>11.2</v>
      </c>
      <c r="I582" s="5" t="n">
        <v>2.4</v>
      </c>
      <c r="J582" s="5" t="n">
        <v>173.9</v>
      </c>
      <c r="K582" s="5" t="n">
        <v>11</v>
      </c>
    </row>
    <row r="583" customFormat="false" ht="15" hidden="false" customHeight="false" outlineLevel="0" collapsed="false">
      <c r="A583" s="5" t="n">
        <v>335</v>
      </c>
      <c r="B583" s="5" t="n">
        <v>40</v>
      </c>
      <c r="C583" s="5" t="n">
        <v>27.6</v>
      </c>
      <c r="D583" s="5" t="n">
        <v>17.6</v>
      </c>
      <c r="E583" s="5" t="n">
        <v>8.9</v>
      </c>
      <c r="F583" s="5" t="n">
        <v>0</v>
      </c>
      <c r="G583" s="5" t="n">
        <v>12.7</v>
      </c>
      <c r="H583" s="5" t="n">
        <v>12.7</v>
      </c>
      <c r="I583" s="5" t="n">
        <v>2.3</v>
      </c>
      <c r="J583" s="5" t="n">
        <v>220.3</v>
      </c>
      <c r="K583" s="5" t="n">
        <v>11</v>
      </c>
    </row>
    <row r="584" customFormat="false" ht="15" hidden="false" customHeight="false" outlineLevel="0" collapsed="false">
      <c r="A584" s="5" t="n">
        <v>340</v>
      </c>
      <c r="B584" s="5" t="n">
        <v>40</v>
      </c>
      <c r="C584" s="5" t="n">
        <v>23</v>
      </c>
      <c r="D584" s="5" t="n">
        <v>18.1</v>
      </c>
      <c r="E584" s="5" t="n">
        <v>9.7</v>
      </c>
      <c r="F584" s="5" t="n">
        <v>0</v>
      </c>
      <c r="G584" s="5" t="n">
        <v>11.2</v>
      </c>
      <c r="H584" s="5" t="n">
        <v>11</v>
      </c>
      <c r="I584" s="5" t="n">
        <v>2.4</v>
      </c>
      <c r="J584" s="5" t="n">
        <v>258.9</v>
      </c>
      <c r="K584" s="5" t="n">
        <v>11</v>
      </c>
    </row>
    <row r="585" customFormat="false" ht="15" hidden="false" customHeight="false" outlineLevel="0" collapsed="false">
      <c r="A585" s="5" t="n">
        <v>345</v>
      </c>
      <c r="B585" s="5" t="n">
        <v>40</v>
      </c>
      <c r="C585" s="5" t="n">
        <v>25.2</v>
      </c>
      <c r="D585" s="5" t="n">
        <v>18</v>
      </c>
      <c r="E585" s="5" t="n">
        <v>9.3</v>
      </c>
      <c r="F585" s="5" t="n">
        <v>0</v>
      </c>
      <c r="G585" s="5" t="n">
        <v>12.5</v>
      </c>
      <c r="H585" s="5" t="n">
        <v>12.2</v>
      </c>
      <c r="I585" s="5" t="n">
        <v>2.4</v>
      </c>
      <c r="J585" s="5" t="n">
        <v>298.8</v>
      </c>
      <c r="K585" s="5" t="n">
        <v>11</v>
      </c>
    </row>
    <row r="586" customFormat="false" ht="15" hidden="false" customHeight="false" outlineLevel="0" collapsed="false">
      <c r="A586" s="5" t="n">
        <v>350</v>
      </c>
      <c r="B586" s="5" t="n">
        <v>40</v>
      </c>
      <c r="C586" s="5" t="n">
        <v>26.4</v>
      </c>
      <c r="D586" s="5" t="n">
        <v>19.2</v>
      </c>
      <c r="E586" s="5" t="n">
        <v>11.3</v>
      </c>
      <c r="F586" s="5" t="n">
        <v>0</v>
      </c>
      <c r="G586" s="5" t="n">
        <v>14.5</v>
      </c>
      <c r="H586" s="5" t="n">
        <v>14.7</v>
      </c>
      <c r="I586" s="5" t="n">
        <v>2.8</v>
      </c>
      <c r="J586" s="5" t="n">
        <v>275.5</v>
      </c>
      <c r="K586" s="5" t="n">
        <v>11</v>
      </c>
    </row>
    <row r="587" customFormat="false" ht="15" hidden="false" customHeight="false" outlineLevel="0" collapsed="false">
      <c r="A587" s="5" t="n">
        <v>355</v>
      </c>
      <c r="B587" s="5" t="n">
        <v>40</v>
      </c>
      <c r="C587" s="5" t="n">
        <v>25.8</v>
      </c>
      <c r="D587" s="5" t="n">
        <v>17</v>
      </c>
      <c r="E587" s="5" t="n">
        <v>8.9</v>
      </c>
      <c r="F587" s="5" t="n">
        <v>0</v>
      </c>
      <c r="G587" s="5" t="n">
        <v>13.1</v>
      </c>
      <c r="H587" s="5" t="n">
        <v>11.4</v>
      </c>
      <c r="I587" s="5" t="n">
        <v>2.5</v>
      </c>
      <c r="J587" s="5" t="n">
        <v>79</v>
      </c>
      <c r="K587" s="5" t="n">
        <v>11</v>
      </c>
    </row>
    <row r="588" customFormat="false" ht="15" hidden="false" customHeight="false" outlineLevel="0" collapsed="false">
      <c r="A588" s="5" t="n">
        <v>360</v>
      </c>
      <c r="B588" s="5" t="n">
        <v>40</v>
      </c>
      <c r="C588" s="5" t="n">
        <v>27</v>
      </c>
      <c r="D588" s="5" t="n">
        <v>14.7</v>
      </c>
      <c r="E588" s="5" t="n">
        <v>7.9</v>
      </c>
      <c r="F588" s="5" t="n">
        <v>0</v>
      </c>
      <c r="G588" s="5" t="n">
        <v>12</v>
      </c>
      <c r="H588" s="5" t="n">
        <v>11.2</v>
      </c>
      <c r="I588" s="5" t="n">
        <v>2.5</v>
      </c>
      <c r="J588" s="5" t="n">
        <v>122.8</v>
      </c>
      <c r="K588" s="5" t="n">
        <v>11</v>
      </c>
    </row>
    <row r="589" customFormat="false" ht="15" hidden="false" customHeight="false" outlineLevel="0" collapsed="false">
      <c r="A589" s="5" t="n">
        <v>365</v>
      </c>
      <c r="B589" s="5" t="n">
        <v>40</v>
      </c>
      <c r="C589" s="5" t="n">
        <v>24</v>
      </c>
      <c r="D589" s="5" t="n">
        <v>16.8</v>
      </c>
      <c r="E589" s="5" t="n">
        <v>8.6</v>
      </c>
      <c r="F589" s="5" t="n">
        <v>0</v>
      </c>
      <c r="G589" s="5" t="n">
        <v>10</v>
      </c>
      <c r="H589" s="5" t="n">
        <v>11.8</v>
      </c>
      <c r="I589" s="5" t="n">
        <v>2</v>
      </c>
      <c r="J589" s="5" t="n">
        <v>163.2</v>
      </c>
      <c r="K589" s="5" t="n">
        <v>11</v>
      </c>
    </row>
    <row r="590" customFormat="false" ht="15" hidden="false" customHeight="false" outlineLevel="0" collapsed="false">
      <c r="A590" s="5" t="n">
        <v>370</v>
      </c>
      <c r="B590" s="5" t="n">
        <v>40</v>
      </c>
      <c r="C590" s="5" t="n">
        <v>22.4</v>
      </c>
      <c r="D590" s="5" t="n">
        <v>17.1</v>
      </c>
      <c r="E590" s="5" t="n">
        <v>8.6</v>
      </c>
      <c r="F590" s="5" t="n">
        <v>0</v>
      </c>
      <c r="G590" s="5" t="n">
        <v>13.8</v>
      </c>
      <c r="H590" s="5" t="n">
        <v>11</v>
      </c>
      <c r="I590" s="5" t="n">
        <v>2.4</v>
      </c>
      <c r="J590" s="5" t="n">
        <v>205</v>
      </c>
      <c r="K590" s="5" t="n">
        <v>11</v>
      </c>
    </row>
    <row r="591" customFormat="false" ht="15" hidden="false" customHeight="false" outlineLevel="0" collapsed="false">
      <c r="A591" s="5" t="n">
        <v>375</v>
      </c>
      <c r="B591" s="5" t="n">
        <v>40</v>
      </c>
      <c r="C591" s="5" t="n">
        <v>26.8</v>
      </c>
      <c r="D591" s="5" t="n">
        <v>16.1</v>
      </c>
      <c r="E591" s="5" t="n">
        <v>9.7</v>
      </c>
      <c r="F591" s="5" t="n">
        <v>0</v>
      </c>
      <c r="G591" s="5" t="n">
        <v>13.1</v>
      </c>
      <c r="H591" s="5" t="n">
        <v>11.3</v>
      </c>
      <c r="I591" s="5" t="n">
        <v>2.9</v>
      </c>
      <c r="J591" s="5" t="n">
        <v>251.8</v>
      </c>
      <c r="K591" s="5" t="n">
        <v>11</v>
      </c>
    </row>
    <row r="592" customFormat="false" ht="15" hidden="false" customHeight="false" outlineLevel="0" collapsed="false">
      <c r="A592" s="5" t="n">
        <v>380</v>
      </c>
      <c r="B592" s="5" t="n">
        <v>40</v>
      </c>
      <c r="C592" s="5" t="n">
        <v>24.6</v>
      </c>
      <c r="D592" s="5" t="n">
        <v>17.7</v>
      </c>
      <c r="E592" s="5" t="n">
        <v>9.1</v>
      </c>
      <c r="F592" s="5" t="n">
        <v>0</v>
      </c>
      <c r="G592" s="5" t="n">
        <v>11</v>
      </c>
      <c r="H592" s="5" t="n">
        <v>12.3</v>
      </c>
      <c r="I592" s="5" t="n">
        <v>2.3</v>
      </c>
      <c r="J592" s="5" t="n">
        <v>291.2</v>
      </c>
      <c r="K592" s="5" t="n">
        <v>11</v>
      </c>
    </row>
    <row r="593" customFormat="false" ht="15" hidden="false" customHeight="false" outlineLevel="0" collapsed="false">
      <c r="A593" s="5" t="n">
        <v>385</v>
      </c>
      <c r="B593" s="5" t="n">
        <v>40</v>
      </c>
      <c r="C593" s="5" t="n">
        <v>27.4</v>
      </c>
      <c r="D593" s="5" t="n">
        <v>19.6</v>
      </c>
      <c r="E593" s="5" t="n">
        <v>10.3</v>
      </c>
      <c r="F593" s="5" t="n">
        <v>0</v>
      </c>
      <c r="G593" s="5" t="n">
        <v>14.7</v>
      </c>
      <c r="H593" s="5" t="n">
        <v>12.5</v>
      </c>
      <c r="I593" s="5" t="n">
        <v>3.5</v>
      </c>
      <c r="J593" s="5" t="n">
        <v>273.6</v>
      </c>
      <c r="K593" s="5" t="n">
        <v>11</v>
      </c>
    </row>
    <row r="594" customFormat="false" ht="15" hidden="false" customHeight="false" outlineLevel="0" collapsed="false">
      <c r="A594" s="5" t="n">
        <v>390</v>
      </c>
      <c r="B594" s="5" t="n">
        <v>40</v>
      </c>
      <c r="C594" s="5" t="n">
        <v>25.6</v>
      </c>
      <c r="D594" s="5" t="n">
        <v>17</v>
      </c>
      <c r="E594" s="5" t="n">
        <v>8</v>
      </c>
      <c r="F594" s="5" t="n">
        <v>0</v>
      </c>
      <c r="G594" s="5" t="n">
        <v>22.6</v>
      </c>
      <c r="H594" s="5" t="n">
        <v>11.6</v>
      </c>
      <c r="I594" s="5" t="n">
        <v>3.3</v>
      </c>
      <c r="J594" s="5" t="n">
        <v>75.5</v>
      </c>
      <c r="K594" s="5" t="n">
        <v>11</v>
      </c>
    </row>
    <row r="595" customFormat="false" ht="15" hidden="false" customHeight="false" outlineLevel="0" collapsed="false">
      <c r="A595" s="5" t="n">
        <v>395</v>
      </c>
      <c r="B595" s="5" t="n">
        <v>40</v>
      </c>
      <c r="C595" s="5" t="n">
        <v>25.6</v>
      </c>
      <c r="D595" s="5" t="n">
        <v>17</v>
      </c>
      <c r="E595" s="5" t="n">
        <v>8.7</v>
      </c>
      <c r="F595" s="5" t="n">
        <v>0</v>
      </c>
      <c r="G595" s="5" t="n">
        <v>10.2</v>
      </c>
      <c r="H595" s="5" t="n">
        <v>11.6</v>
      </c>
      <c r="I595" s="5" t="n">
        <v>1.8</v>
      </c>
      <c r="J595" s="5" t="n">
        <v>115.3</v>
      </c>
      <c r="K595" s="5" t="n">
        <v>11</v>
      </c>
    </row>
    <row r="596" customFormat="false" ht="15" hidden="false" customHeight="false" outlineLevel="0" collapsed="false">
      <c r="A596" s="5" t="n">
        <v>400</v>
      </c>
      <c r="B596" s="5" t="n">
        <v>40</v>
      </c>
      <c r="C596" s="5" t="n">
        <v>23.2</v>
      </c>
      <c r="D596" s="5" t="n">
        <v>18</v>
      </c>
      <c r="E596" s="5" t="n">
        <v>9.2</v>
      </c>
      <c r="F596" s="5" t="n">
        <v>0</v>
      </c>
      <c r="G596" s="5" t="n">
        <v>12</v>
      </c>
      <c r="H596" s="5" t="n">
        <v>11.5</v>
      </c>
      <c r="I596" s="5" t="n">
        <v>2.3</v>
      </c>
      <c r="J596" s="5" t="n">
        <v>152.3</v>
      </c>
      <c r="K596" s="5" t="n">
        <v>11</v>
      </c>
    </row>
    <row r="597" customFormat="false" ht="15" hidden="false" customHeight="false" outlineLevel="0" collapsed="false">
      <c r="A597" s="5" t="n">
        <v>405</v>
      </c>
      <c r="B597" s="5" t="n">
        <v>40</v>
      </c>
      <c r="C597" s="5" t="n">
        <v>25.8</v>
      </c>
      <c r="D597" s="5" t="n">
        <v>17.1</v>
      </c>
      <c r="E597" s="5" t="n">
        <v>9.8</v>
      </c>
      <c r="F597" s="5" t="n">
        <v>0</v>
      </c>
      <c r="G597" s="5" t="n">
        <v>14.1</v>
      </c>
      <c r="H597" s="5" t="n">
        <v>11.3</v>
      </c>
      <c r="I597" s="5" t="n">
        <v>3.1</v>
      </c>
      <c r="J597" s="5" t="n">
        <v>193.3</v>
      </c>
      <c r="K597" s="5" t="n">
        <v>11</v>
      </c>
    </row>
    <row r="598" customFormat="false" ht="15" hidden="false" customHeight="false" outlineLevel="0" collapsed="false">
      <c r="A598" s="5" t="n">
        <v>410</v>
      </c>
      <c r="B598" s="5" t="n">
        <v>40</v>
      </c>
      <c r="C598" s="5" t="n">
        <v>23.2</v>
      </c>
      <c r="D598" s="5" t="n">
        <v>17.7</v>
      </c>
      <c r="E598" s="5" t="n">
        <v>8.3</v>
      </c>
      <c r="F598" s="5" t="n">
        <v>0</v>
      </c>
      <c r="G598" s="5" t="n">
        <v>9.6</v>
      </c>
      <c r="H598" s="5" t="n">
        <v>10.8</v>
      </c>
      <c r="I598" s="5" t="n">
        <v>1.8</v>
      </c>
      <c r="J598" s="5" t="n">
        <v>231.1</v>
      </c>
      <c r="K598" s="5" t="n">
        <v>11</v>
      </c>
    </row>
    <row r="599" customFormat="false" ht="15" hidden="false" customHeight="false" outlineLevel="0" collapsed="false">
      <c r="A599" s="5" t="n">
        <v>415</v>
      </c>
      <c r="B599" s="5" t="n">
        <v>40</v>
      </c>
      <c r="C599" s="5" t="n">
        <v>26.6</v>
      </c>
      <c r="D599" s="5" t="n">
        <v>18.6</v>
      </c>
      <c r="E599" s="5" t="n">
        <v>9.5</v>
      </c>
      <c r="F599" s="5" t="n">
        <v>0</v>
      </c>
      <c r="G599" s="5" t="n">
        <v>15.7</v>
      </c>
      <c r="H599" s="5" t="n">
        <v>12.5</v>
      </c>
      <c r="I599" s="5" t="n">
        <v>2.8</v>
      </c>
      <c r="J599" s="5" t="n">
        <v>269.9</v>
      </c>
      <c r="K599" s="5" t="n">
        <v>11</v>
      </c>
    </row>
    <row r="600" customFormat="false" ht="15" hidden="false" customHeight="false" outlineLevel="0" collapsed="false">
      <c r="A600" s="5" t="n">
        <v>420</v>
      </c>
      <c r="B600" s="5" t="n">
        <v>40</v>
      </c>
      <c r="C600" s="5" t="n">
        <v>25.4</v>
      </c>
      <c r="D600" s="5" t="n">
        <v>15.8</v>
      </c>
      <c r="E600" s="5" t="n">
        <v>8.1</v>
      </c>
      <c r="F600" s="5" t="n">
        <v>0</v>
      </c>
      <c r="G600" s="5" t="n">
        <v>11.2</v>
      </c>
      <c r="H600" s="5" t="n">
        <v>10.4</v>
      </c>
      <c r="I600" s="5" t="n">
        <v>3.2</v>
      </c>
      <c r="J600" s="5" t="n">
        <v>313.3</v>
      </c>
      <c r="K600" s="5" t="n">
        <v>11</v>
      </c>
    </row>
    <row r="601" customFormat="false" ht="15" hidden="false" customHeight="false" outlineLevel="0" collapsed="false">
      <c r="A601" s="5" t="n">
        <v>425</v>
      </c>
      <c r="B601" s="5" t="n">
        <v>40</v>
      </c>
      <c r="C601" s="5" t="n">
        <v>26</v>
      </c>
      <c r="D601" s="5" t="n">
        <v>16.6</v>
      </c>
      <c r="E601" s="5" t="n">
        <v>9.1</v>
      </c>
      <c r="F601" s="5" t="n">
        <v>0</v>
      </c>
      <c r="G601" s="5" t="n">
        <v>12.6</v>
      </c>
      <c r="H601" s="5" t="n">
        <v>12.6</v>
      </c>
      <c r="I601" s="5" t="n">
        <v>2.4</v>
      </c>
      <c r="J601" s="5" t="n">
        <v>178.9</v>
      </c>
      <c r="K601" s="5" t="n">
        <v>11</v>
      </c>
    </row>
    <row r="602" customFormat="false" ht="15" hidden="false" customHeight="false" outlineLevel="0" collapsed="false">
      <c r="A602" s="5" t="n">
        <v>430</v>
      </c>
      <c r="B602" s="5" t="n">
        <v>40</v>
      </c>
      <c r="C602" s="5" t="n">
        <v>26</v>
      </c>
      <c r="D602" s="5" t="n">
        <v>17.7</v>
      </c>
      <c r="E602" s="5" t="n">
        <v>9.2</v>
      </c>
      <c r="F602" s="5" t="n">
        <v>0</v>
      </c>
      <c r="G602" s="5" t="n">
        <v>12</v>
      </c>
      <c r="H602" s="5" t="n">
        <v>12.8</v>
      </c>
      <c r="I602" s="5" t="n">
        <v>2.3</v>
      </c>
      <c r="J602" s="5" t="n">
        <v>103.9</v>
      </c>
      <c r="K602" s="5" t="n">
        <v>11</v>
      </c>
    </row>
    <row r="603" customFormat="false" ht="15" hidden="false" customHeight="false" outlineLevel="0" collapsed="false">
      <c r="A603" s="5" t="n">
        <v>435</v>
      </c>
      <c r="B603" s="5" t="n">
        <v>40</v>
      </c>
      <c r="C603" s="5" t="n">
        <v>24.4</v>
      </c>
      <c r="D603" s="5" t="n">
        <v>17.7</v>
      </c>
      <c r="E603" s="5" t="n">
        <v>9.2</v>
      </c>
      <c r="F603" s="5" t="n">
        <v>0</v>
      </c>
      <c r="G603" s="5" t="n">
        <v>12.5</v>
      </c>
      <c r="H603" s="5" t="n">
        <v>10.9</v>
      </c>
      <c r="I603" s="5" t="n">
        <v>2.3</v>
      </c>
      <c r="J603" s="5" t="n">
        <v>144.9</v>
      </c>
      <c r="K603" s="5" t="n">
        <v>11</v>
      </c>
    </row>
    <row r="604" customFormat="false" ht="15" hidden="false" customHeight="false" outlineLevel="0" collapsed="false">
      <c r="A604" s="5" t="n">
        <v>440</v>
      </c>
      <c r="B604" s="5" t="n">
        <v>40</v>
      </c>
      <c r="C604" s="5" t="n">
        <v>32</v>
      </c>
      <c r="D604" s="5" t="n">
        <v>16.8</v>
      </c>
      <c r="E604" s="5" t="n">
        <v>8.9</v>
      </c>
      <c r="F604" s="5" t="n">
        <v>0</v>
      </c>
      <c r="G604" s="5" t="n">
        <v>35.8</v>
      </c>
      <c r="H604" s="5" t="n">
        <v>24.4</v>
      </c>
      <c r="I604" s="5" t="n">
        <v>2.6</v>
      </c>
      <c r="J604" s="5" t="n">
        <v>190.8</v>
      </c>
      <c r="K604" s="5" t="n">
        <v>11</v>
      </c>
    </row>
    <row r="605" customFormat="false" ht="15" hidden="false" customHeight="false" outlineLevel="0" collapsed="false">
      <c r="A605" s="5" t="n">
        <v>445</v>
      </c>
      <c r="B605" s="5" t="n">
        <v>40</v>
      </c>
      <c r="C605" s="5" t="n">
        <v>24.4</v>
      </c>
      <c r="D605" s="5" t="n">
        <v>16.8</v>
      </c>
      <c r="E605" s="5" t="n">
        <v>8.2</v>
      </c>
      <c r="F605" s="5" t="n">
        <v>0</v>
      </c>
      <c r="G605" s="5" t="n">
        <v>10.6</v>
      </c>
      <c r="H605" s="5" t="n">
        <v>12</v>
      </c>
      <c r="I605" s="5" t="n">
        <v>2.1</v>
      </c>
      <c r="J605" s="5" t="n">
        <v>233.1</v>
      </c>
      <c r="K605" s="5" t="n">
        <v>11</v>
      </c>
    </row>
    <row r="606" customFormat="false" ht="15" hidden="false" customHeight="false" outlineLevel="0" collapsed="false">
      <c r="A606" s="5" t="n">
        <v>450</v>
      </c>
      <c r="B606" s="5" t="n">
        <v>40</v>
      </c>
      <c r="C606" s="5" t="n">
        <v>24.8</v>
      </c>
      <c r="D606" s="5" t="n">
        <v>18.6</v>
      </c>
      <c r="E606" s="5" t="n">
        <v>9.9</v>
      </c>
      <c r="F606" s="5" t="n">
        <v>0</v>
      </c>
      <c r="G606" s="5" t="n">
        <v>12</v>
      </c>
      <c r="H606" s="5" t="n">
        <v>12.2</v>
      </c>
      <c r="I606" s="5" t="n">
        <v>2.5</v>
      </c>
      <c r="J606" s="5" t="n">
        <v>272.9</v>
      </c>
      <c r="K606" s="5" t="n">
        <v>11</v>
      </c>
    </row>
    <row r="607" customFormat="false" ht="15" hidden="false" customHeight="false" outlineLevel="0" collapsed="false">
      <c r="A607" s="5" t="n">
        <v>455</v>
      </c>
      <c r="B607" s="5" t="n">
        <v>40</v>
      </c>
      <c r="C607" s="5" t="n">
        <v>26</v>
      </c>
      <c r="D607" s="5" t="n">
        <v>19</v>
      </c>
      <c r="E607" s="5" t="n">
        <v>9.8</v>
      </c>
      <c r="F607" s="5" t="n">
        <v>0</v>
      </c>
      <c r="G607" s="5" t="n">
        <v>13</v>
      </c>
      <c r="H607" s="5" t="n">
        <v>12.1</v>
      </c>
      <c r="I607" s="5" t="n">
        <v>2.2</v>
      </c>
      <c r="J607" s="5" t="n">
        <v>317.1</v>
      </c>
      <c r="K607" s="5" t="n">
        <v>11</v>
      </c>
    </row>
    <row r="608" customFormat="false" ht="15" hidden="false" customHeight="false" outlineLevel="0" collapsed="false">
      <c r="A608" s="5" t="n">
        <v>460</v>
      </c>
      <c r="B608" s="5" t="n">
        <v>40</v>
      </c>
      <c r="C608" s="5" t="n">
        <v>24.2</v>
      </c>
      <c r="D608" s="5" t="n">
        <v>19.5</v>
      </c>
      <c r="E608" s="5" t="n">
        <v>10.2</v>
      </c>
      <c r="F608" s="5" t="n">
        <v>0</v>
      </c>
      <c r="G608" s="5" t="n">
        <v>11.8</v>
      </c>
      <c r="H608" s="5" t="n">
        <v>11.8</v>
      </c>
      <c r="I608" s="5" t="n">
        <v>2.5</v>
      </c>
      <c r="J608" s="5" t="n">
        <v>176</v>
      </c>
      <c r="K608" s="5" t="n">
        <v>11</v>
      </c>
    </row>
    <row r="609" customFormat="false" ht="15" hidden="false" customHeight="false" outlineLevel="0" collapsed="false">
      <c r="A609" s="5" t="n">
        <v>465</v>
      </c>
      <c r="B609" s="5" t="n">
        <v>40</v>
      </c>
      <c r="C609" s="5" t="n">
        <v>25.2</v>
      </c>
      <c r="D609" s="5" t="n">
        <v>17.9</v>
      </c>
      <c r="E609" s="5" t="n">
        <v>9</v>
      </c>
      <c r="F609" s="5" t="n">
        <v>0</v>
      </c>
      <c r="G609" s="5" t="n">
        <v>11.2</v>
      </c>
      <c r="H609" s="5" t="n">
        <v>11.4</v>
      </c>
      <c r="I609" s="5" t="n">
        <v>2</v>
      </c>
      <c r="J609" s="5" t="n">
        <v>96.8</v>
      </c>
      <c r="K609" s="5" t="n">
        <v>11</v>
      </c>
    </row>
    <row r="610" customFormat="false" ht="15" hidden="false" customHeight="false" outlineLevel="0" collapsed="false">
      <c r="A610" s="5" t="n">
        <v>470</v>
      </c>
      <c r="B610" s="5" t="n">
        <v>40</v>
      </c>
      <c r="C610" s="5" t="n">
        <v>27.4</v>
      </c>
      <c r="D610" s="5" t="n">
        <v>16.9</v>
      </c>
      <c r="E610" s="5" t="n">
        <v>9</v>
      </c>
      <c r="F610" s="5" t="n">
        <v>0</v>
      </c>
      <c r="G610" s="5" t="n">
        <v>3.9</v>
      </c>
      <c r="H610" s="5" t="n">
        <v>2.8</v>
      </c>
      <c r="I610" s="5" t="n">
        <v>2.4</v>
      </c>
      <c r="J610" s="5" t="n">
        <v>140.4</v>
      </c>
      <c r="K610" s="5" t="n">
        <v>11</v>
      </c>
    </row>
    <row r="611" customFormat="false" ht="15" hidden="false" customHeight="false" outlineLevel="0" collapsed="false">
      <c r="A611" s="5" t="n">
        <v>475</v>
      </c>
      <c r="B611" s="5" t="n">
        <v>40</v>
      </c>
      <c r="C611" s="5" t="n">
        <v>29.2</v>
      </c>
      <c r="D611" s="5" t="n">
        <v>18.6</v>
      </c>
      <c r="E611" s="5" t="n">
        <v>10.4</v>
      </c>
      <c r="F611" s="5" t="n">
        <v>0</v>
      </c>
      <c r="G611" s="5" t="n">
        <v>12.7</v>
      </c>
      <c r="H611" s="5" t="n">
        <v>13.1</v>
      </c>
      <c r="I611" s="5" t="n">
        <v>3.3</v>
      </c>
      <c r="J611" s="5" t="n">
        <v>192.6</v>
      </c>
      <c r="K611" s="5" t="n">
        <v>11</v>
      </c>
    </row>
    <row r="612" customFormat="false" ht="15" hidden="false" customHeight="false" outlineLevel="0" collapsed="false">
      <c r="A612" s="5" t="n">
        <v>480</v>
      </c>
      <c r="B612" s="5" t="n">
        <v>40</v>
      </c>
      <c r="C612" s="5" t="n">
        <v>26</v>
      </c>
      <c r="D612" s="5" t="n">
        <v>17.7</v>
      </c>
      <c r="E612" s="5" t="n">
        <v>9.1</v>
      </c>
      <c r="F612" s="5" t="n">
        <v>0</v>
      </c>
      <c r="G612" s="5" t="n">
        <v>11.5</v>
      </c>
      <c r="H612" s="5" t="n">
        <v>11.3</v>
      </c>
      <c r="I612" s="5" t="n">
        <v>1.9</v>
      </c>
      <c r="J612" s="5" t="n">
        <v>239.2</v>
      </c>
      <c r="K612" s="5" t="n">
        <v>11</v>
      </c>
    </row>
    <row r="613" customFormat="false" ht="15" hidden="false" customHeight="false" outlineLevel="0" collapsed="false">
      <c r="A613" s="5" t="n">
        <v>485</v>
      </c>
      <c r="B613" s="5" t="n">
        <v>40</v>
      </c>
      <c r="C613" s="5" t="n">
        <v>26.4</v>
      </c>
      <c r="D613" s="5" t="n">
        <v>18.7</v>
      </c>
      <c r="E613" s="5" t="n">
        <v>10.4</v>
      </c>
      <c r="F613" s="5" t="n">
        <v>0</v>
      </c>
      <c r="G613" s="5" t="n">
        <v>13.1</v>
      </c>
      <c r="H613" s="5" t="n">
        <v>12.9</v>
      </c>
      <c r="I613" s="5" t="n">
        <v>2.7</v>
      </c>
      <c r="J613" s="5" t="n">
        <v>280.6</v>
      </c>
      <c r="K613" s="5" t="n">
        <v>11</v>
      </c>
    </row>
    <row r="614" customFormat="false" ht="15" hidden="false" customHeight="false" outlineLevel="0" collapsed="false">
      <c r="A614" s="5" t="n">
        <v>490</v>
      </c>
      <c r="B614" s="5" t="n">
        <v>40</v>
      </c>
      <c r="C614" s="5" t="n">
        <v>22.6</v>
      </c>
      <c r="D614" s="5" t="n">
        <v>18.7</v>
      </c>
      <c r="E614" s="5" t="n">
        <v>9.8</v>
      </c>
      <c r="F614" s="5" t="n">
        <v>0</v>
      </c>
      <c r="G614" s="5" t="n">
        <v>13.9</v>
      </c>
      <c r="H614" s="5" t="n">
        <v>11.8</v>
      </c>
      <c r="I614" s="5" t="n">
        <v>2.4</v>
      </c>
      <c r="J614" s="5" t="n">
        <v>322.8</v>
      </c>
      <c r="K614" s="5" t="n">
        <v>11</v>
      </c>
    </row>
    <row r="615" customFormat="false" ht="15" hidden="false" customHeight="false" outlineLevel="0" collapsed="false">
      <c r="A615" s="5" t="n">
        <v>495</v>
      </c>
      <c r="B615" s="5" t="n">
        <v>40</v>
      </c>
      <c r="C615" s="5" t="n">
        <v>25</v>
      </c>
      <c r="D615" s="5" t="n">
        <v>16.8</v>
      </c>
      <c r="E615" s="5" t="n">
        <v>9.1</v>
      </c>
      <c r="F615" s="5" t="n">
        <v>0</v>
      </c>
      <c r="G615" s="5" t="n">
        <v>12.6</v>
      </c>
      <c r="H615" s="5" t="n">
        <v>11.2</v>
      </c>
      <c r="I615" s="5" t="n">
        <v>2.5</v>
      </c>
      <c r="J615" s="5" t="n">
        <v>124</v>
      </c>
      <c r="K615" s="5" t="n">
        <v>11</v>
      </c>
    </row>
    <row r="616" customFormat="false" ht="15" hidden="false" customHeight="false" outlineLevel="0" collapsed="false">
      <c r="A616" s="5" t="n">
        <v>500</v>
      </c>
      <c r="B616" s="5" t="n">
        <v>40</v>
      </c>
      <c r="C616" s="5" t="n">
        <v>23.6</v>
      </c>
      <c r="D616" s="5" t="n">
        <v>17.8</v>
      </c>
      <c r="E616" s="5" t="n">
        <v>8.5</v>
      </c>
      <c r="F616" s="5" t="n">
        <v>0</v>
      </c>
      <c r="G616" s="5" t="n">
        <v>10.5</v>
      </c>
      <c r="H616" s="5" t="n">
        <v>11.8</v>
      </c>
      <c r="I616" s="5" t="n">
        <v>2.1</v>
      </c>
      <c r="J616" s="5" t="n">
        <v>97.9</v>
      </c>
      <c r="K616" s="5" t="n">
        <v>11</v>
      </c>
    </row>
    <row r="617" customFormat="false" ht="15" hidden="false" customHeight="false" outlineLevel="0" collapsed="false">
      <c r="A617" s="5" t="n">
        <v>505</v>
      </c>
      <c r="B617" s="5" t="n">
        <v>40</v>
      </c>
      <c r="C617" s="5" t="n">
        <v>26.4</v>
      </c>
      <c r="D617" s="5" t="n">
        <v>18.2</v>
      </c>
      <c r="E617" s="5" t="n">
        <v>9</v>
      </c>
      <c r="F617" s="5" t="n">
        <v>0</v>
      </c>
      <c r="G617" s="5" t="n">
        <v>11.8</v>
      </c>
      <c r="H617" s="5" t="n">
        <v>12</v>
      </c>
      <c r="I617" s="5" t="n">
        <v>2.7</v>
      </c>
      <c r="J617" s="5" t="n">
        <v>137.4</v>
      </c>
      <c r="K617" s="5" t="n">
        <v>11</v>
      </c>
    </row>
    <row r="618" customFormat="false" ht="15" hidden="false" customHeight="false" outlineLevel="0" collapsed="false">
      <c r="A618" s="5" t="n">
        <v>510</v>
      </c>
      <c r="B618" s="5" t="n">
        <v>40</v>
      </c>
      <c r="C618" s="5" t="n">
        <v>25.6</v>
      </c>
      <c r="D618" s="5" t="n">
        <v>17</v>
      </c>
      <c r="E618" s="5" t="n">
        <v>10.5</v>
      </c>
      <c r="F618" s="5" t="n">
        <v>0</v>
      </c>
      <c r="G618" s="5" t="n">
        <v>13.9</v>
      </c>
      <c r="H618" s="5" t="n">
        <v>11.6</v>
      </c>
      <c r="I618" s="5" t="n">
        <v>2.7</v>
      </c>
      <c r="J618" s="5" t="n">
        <v>181.6</v>
      </c>
      <c r="K618" s="5" t="n">
        <v>11</v>
      </c>
    </row>
    <row r="619" customFormat="false" ht="15" hidden="false" customHeight="false" outlineLevel="0" collapsed="false">
      <c r="A619" s="5" t="n">
        <v>515</v>
      </c>
      <c r="B619" s="5" t="n">
        <v>40</v>
      </c>
      <c r="C619" s="5" t="n">
        <v>25.6</v>
      </c>
      <c r="D619" s="5" t="n">
        <v>18.7</v>
      </c>
      <c r="E619" s="5" t="n">
        <v>9.4</v>
      </c>
      <c r="F619" s="5" t="n">
        <v>0</v>
      </c>
      <c r="G619" s="5" t="n">
        <v>11.8</v>
      </c>
      <c r="H619" s="5" t="n">
        <v>11.6</v>
      </c>
      <c r="I619" s="5" t="n">
        <v>2.1</v>
      </c>
      <c r="J619" s="5" t="n">
        <v>222.8</v>
      </c>
      <c r="K619" s="5" t="n">
        <v>11</v>
      </c>
    </row>
    <row r="620" customFormat="false" ht="15" hidden="false" customHeight="false" outlineLevel="0" collapsed="false">
      <c r="A620" s="5" t="n">
        <v>520</v>
      </c>
      <c r="B620" s="5" t="n">
        <v>40</v>
      </c>
      <c r="C620" s="5" t="n">
        <v>25.2</v>
      </c>
      <c r="D620" s="5" t="n">
        <v>17.4</v>
      </c>
      <c r="E620" s="5" t="n">
        <v>8.8</v>
      </c>
      <c r="F620" s="5" t="n">
        <v>0</v>
      </c>
      <c r="G620" s="5" t="n">
        <v>10.6</v>
      </c>
      <c r="H620" s="5" t="n">
        <v>12.4</v>
      </c>
      <c r="I620" s="5" t="n">
        <v>1.8</v>
      </c>
      <c r="J620" s="5" t="n">
        <v>264.4</v>
      </c>
      <c r="K620" s="5" t="n">
        <v>11</v>
      </c>
    </row>
    <row r="621" customFormat="false" ht="15" hidden="false" customHeight="false" outlineLevel="0" collapsed="false">
      <c r="A621" s="5" t="n">
        <v>525</v>
      </c>
      <c r="B621" s="5" t="n">
        <v>40</v>
      </c>
      <c r="C621" s="5" t="n">
        <v>26.6</v>
      </c>
      <c r="D621" s="5" t="n">
        <v>19.2</v>
      </c>
      <c r="E621" s="5" t="n">
        <v>9.7</v>
      </c>
      <c r="F621" s="5" t="n">
        <v>0</v>
      </c>
      <c r="G621" s="5" t="n">
        <v>13.2</v>
      </c>
      <c r="H621" s="5" t="n">
        <v>13.4</v>
      </c>
      <c r="I621" s="5" t="n">
        <v>3</v>
      </c>
      <c r="J621" s="5" t="n">
        <v>308</v>
      </c>
      <c r="K621" s="5" t="n">
        <v>11</v>
      </c>
    </row>
    <row r="622" customFormat="false" ht="15" hidden="false" customHeight="false" outlineLevel="0" collapsed="false">
      <c r="A622" s="5" t="n">
        <v>530</v>
      </c>
      <c r="B622" s="5" t="n">
        <v>40</v>
      </c>
      <c r="C622" s="5" t="n">
        <v>23.2</v>
      </c>
      <c r="D622" s="5" t="n">
        <v>17.8</v>
      </c>
      <c r="E622" s="5" t="n">
        <v>10.8</v>
      </c>
      <c r="F622" s="5" t="n">
        <v>0</v>
      </c>
      <c r="G622" s="5" t="n">
        <v>14</v>
      </c>
      <c r="H622" s="5" t="n">
        <v>10.8</v>
      </c>
      <c r="I622" s="5" t="n">
        <v>2.7</v>
      </c>
      <c r="J622" s="5" t="n">
        <v>177</v>
      </c>
      <c r="K622" s="5" t="n">
        <v>11</v>
      </c>
    </row>
    <row r="623" customFormat="false" ht="15" hidden="false" customHeight="false" outlineLevel="0" collapsed="false">
      <c r="A623" s="5" t="n">
        <v>535</v>
      </c>
      <c r="B623" s="5" t="n">
        <v>40</v>
      </c>
      <c r="C623" s="5" t="n">
        <v>31.4</v>
      </c>
      <c r="D623" s="5" t="n">
        <v>16.6</v>
      </c>
      <c r="E623" s="5" t="n">
        <v>8.4</v>
      </c>
      <c r="F623" s="5" t="n">
        <v>0</v>
      </c>
      <c r="G623" s="5" t="n">
        <v>-36.2</v>
      </c>
      <c r="H623" s="5" t="n">
        <v>-48.5</v>
      </c>
      <c r="I623" s="5" t="n">
        <v>2</v>
      </c>
      <c r="J623" s="5" t="n">
        <v>104.9</v>
      </c>
      <c r="K623" s="5" t="n">
        <v>11</v>
      </c>
    </row>
    <row r="624" customFormat="false" ht="15" hidden="false" customHeight="false" outlineLevel="0" collapsed="false">
      <c r="A624" s="5" t="n">
        <v>540</v>
      </c>
      <c r="B624" s="5" t="n">
        <v>40</v>
      </c>
      <c r="C624" s="5" t="n">
        <v>26.8</v>
      </c>
      <c r="D624" s="5" t="n">
        <v>17.1</v>
      </c>
      <c r="E624" s="5" t="n">
        <v>9.4</v>
      </c>
      <c r="F624" s="5" t="n">
        <v>0</v>
      </c>
      <c r="G624" s="5" t="n">
        <v>13</v>
      </c>
      <c r="H624" s="5" t="n">
        <v>13.6</v>
      </c>
      <c r="I624" s="5" t="n">
        <v>2.6</v>
      </c>
      <c r="J624" s="5" t="n">
        <v>151.8</v>
      </c>
      <c r="K624" s="5" t="n">
        <v>11</v>
      </c>
    </row>
    <row r="625" customFormat="false" ht="15" hidden="false" customHeight="false" outlineLevel="0" collapsed="false">
      <c r="A625" s="5" t="n">
        <v>545</v>
      </c>
      <c r="B625" s="5" t="n">
        <v>40</v>
      </c>
      <c r="C625" s="5" t="n">
        <v>27</v>
      </c>
      <c r="D625" s="5" t="n">
        <v>17.6</v>
      </c>
      <c r="E625" s="5" t="n">
        <v>9.4</v>
      </c>
      <c r="F625" s="5" t="n">
        <v>0</v>
      </c>
      <c r="G625" s="5" t="n">
        <v>12.2</v>
      </c>
      <c r="H625" s="5" t="n">
        <v>12.2</v>
      </c>
      <c r="I625" s="5" t="n">
        <v>3</v>
      </c>
      <c r="J625" s="5" t="n">
        <v>199.4</v>
      </c>
      <c r="K625" s="5" t="n">
        <v>11</v>
      </c>
    </row>
    <row r="626" customFormat="false" ht="15" hidden="false" customHeight="false" outlineLevel="0" collapsed="false">
      <c r="A626" s="5" t="n">
        <v>550</v>
      </c>
      <c r="B626" s="5" t="n">
        <v>40</v>
      </c>
      <c r="C626" s="5" t="n">
        <v>25.6</v>
      </c>
      <c r="D626" s="5" t="n">
        <v>18</v>
      </c>
      <c r="E626" s="5" t="n">
        <v>9.4</v>
      </c>
      <c r="F626" s="5" t="n">
        <v>0</v>
      </c>
      <c r="G626" s="5" t="n">
        <v>11.6</v>
      </c>
      <c r="H626" s="5" t="n">
        <v>11.2</v>
      </c>
      <c r="I626" s="5" t="n">
        <v>1.9</v>
      </c>
      <c r="J626" s="5" t="n">
        <v>240.2</v>
      </c>
      <c r="K626" s="5" t="n">
        <v>11</v>
      </c>
    </row>
    <row r="627" customFormat="false" ht="15" hidden="false" customHeight="false" outlineLevel="0" collapsed="false">
      <c r="A627" s="5" t="n">
        <v>555</v>
      </c>
      <c r="B627" s="5" t="n">
        <v>40</v>
      </c>
      <c r="C627" s="5" t="n">
        <v>25.2</v>
      </c>
      <c r="D627" s="5" t="n">
        <v>17.7</v>
      </c>
      <c r="E627" s="5" t="n">
        <v>9</v>
      </c>
      <c r="F627" s="5" t="n">
        <v>0</v>
      </c>
      <c r="G627" s="5" t="n">
        <v>12.4</v>
      </c>
      <c r="H627" s="5" t="n">
        <v>11.8</v>
      </c>
      <c r="I627" s="5" t="n">
        <v>2.4</v>
      </c>
      <c r="J627" s="5" t="n">
        <v>278.8</v>
      </c>
      <c r="K627" s="5" t="n">
        <v>11</v>
      </c>
    </row>
    <row r="628" customFormat="false" ht="15" hidden="false" customHeight="false" outlineLevel="0" collapsed="false">
      <c r="A628" s="5" t="n">
        <v>560</v>
      </c>
      <c r="B628" s="5" t="n">
        <v>40</v>
      </c>
      <c r="C628" s="5" t="n">
        <v>28.2</v>
      </c>
      <c r="D628" s="5" t="n">
        <v>17.7</v>
      </c>
      <c r="E628" s="5" t="n">
        <v>8.9</v>
      </c>
      <c r="F628" s="5" t="n">
        <v>0</v>
      </c>
      <c r="G628" s="5" t="n">
        <v>13.3</v>
      </c>
      <c r="H628" s="5" t="n">
        <v>12.3</v>
      </c>
      <c r="I628" s="5" t="n">
        <v>2.8</v>
      </c>
      <c r="J628" s="5" t="n">
        <v>320.1</v>
      </c>
      <c r="K628" s="5" t="n">
        <v>11</v>
      </c>
    </row>
    <row r="629" customFormat="false" ht="15" hidden="false" customHeight="false" outlineLevel="0" collapsed="false">
      <c r="A629" s="5" t="n">
        <v>565</v>
      </c>
      <c r="B629" s="5" t="n">
        <v>40</v>
      </c>
      <c r="C629" s="5" t="n">
        <v>28.2</v>
      </c>
      <c r="D629" s="5" t="n">
        <v>18.5</v>
      </c>
      <c r="E629" s="5" t="n">
        <v>9.7</v>
      </c>
      <c r="F629" s="5" t="n">
        <v>0</v>
      </c>
      <c r="G629" s="5" t="n">
        <v>91.2</v>
      </c>
      <c r="H629" s="5" t="n">
        <v>69.2</v>
      </c>
      <c r="I629" s="5" t="n">
        <v>2.8</v>
      </c>
      <c r="J629" s="5" t="n">
        <v>161.7</v>
      </c>
      <c r="K629" s="5" t="n">
        <v>11</v>
      </c>
    </row>
    <row r="630" customFormat="false" ht="15" hidden="false" customHeight="false" outlineLevel="0" collapsed="false">
      <c r="A630" s="5" t="n">
        <v>570</v>
      </c>
      <c r="B630" s="5" t="n">
        <v>40</v>
      </c>
      <c r="C630" s="5" t="n">
        <v>28.2</v>
      </c>
      <c r="D630" s="5" t="n">
        <v>22.4</v>
      </c>
      <c r="E630" s="5" t="n">
        <v>10.7</v>
      </c>
      <c r="F630" s="5" t="n">
        <v>0</v>
      </c>
      <c r="G630" s="5" t="n">
        <v>10.2</v>
      </c>
      <c r="H630" s="5" t="n">
        <v>12.2</v>
      </c>
      <c r="I630" s="5" t="n">
        <v>1.9</v>
      </c>
      <c r="J630" s="5" t="n">
        <v>106.4</v>
      </c>
      <c r="K630" s="5" t="n">
        <v>11</v>
      </c>
    </row>
    <row r="631" customFormat="false" ht="15" hidden="false" customHeight="false" outlineLevel="0" collapsed="false">
      <c r="A631" s="5" t="n">
        <v>575</v>
      </c>
      <c r="B631" s="5" t="n">
        <v>40</v>
      </c>
      <c r="C631" s="5" t="n">
        <v>25.6</v>
      </c>
      <c r="D631" s="5" t="n">
        <v>17.3</v>
      </c>
      <c r="E631" s="5" t="n">
        <v>9.4</v>
      </c>
      <c r="F631" s="5" t="n">
        <v>0</v>
      </c>
      <c r="G631" s="5" t="n">
        <v>14.5</v>
      </c>
      <c r="H631" s="5" t="n">
        <v>12.8</v>
      </c>
      <c r="I631" s="5" t="n">
        <v>2.8</v>
      </c>
      <c r="J631" s="5" t="n">
        <v>150.8</v>
      </c>
      <c r="K631" s="5" t="n">
        <v>11</v>
      </c>
    </row>
    <row r="632" customFormat="false" ht="15" hidden="false" customHeight="false" outlineLevel="0" collapsed="false">
      <c r="A632" s="5" t="n">
        <v>580</v>
      </c>
      <c r="B632" s="5" t="n">
        <v>40</v>
      </c>
      <c r="C632" s="5" t="n">
        <v>24.8</v>
      </c>
      <c r="D632" s="5" t="n">
        <v>17.8</v>
      </c>
      <c r="E632" s="5" t="n">
        <v>8.7</v>
      </c>
      <c r="F632" s="5" t="n">
        <v>0</v>
      </c>
      <c r="G632" s="5" t="n">
        <v>10.2</v>
      </c>
      <c r="H632" s="5" t="n">
        <v>11</v>
      </c>
      <c r="I632" s="5" t="n">
        <v>1.7</v>
      </c>
      <c r="J632" s="5" t="n">
        <v>191.6</v>
      </c>
      <c r="K632" s="5" t="n">
        <v>11</v>
      </c>
    </row>
    <row r="633" customFormat="false" ht="15" hidden="false" customHeight="false" outlineLevel="0" collapsed="false">
      <c r="A633" s="5" t="n">
        <v>585</v>
      </c>
      <c r="B633" s="5" t="n">
        <v>40</v>
      </c>
      <c r="C633" s="5" t="n">
        <v>24.6</v>
      </c>
      <c r="D633" s="5" t="n">
        <v>16.6</v>
      </c>
      <c r="E633" s="5" t="n">
        <v>8.7</v>
      </c>
      <c r="F633" s="5" t="n">
        <v>0</v>
      </c>
      <c r="G633" s="5" t="n">
        <v>9.8</v>
      </c>
      <c r="H633" s="5" t="n">
        <v>9.6</v>
      </c>
      <c r="I633" s="5" t="n">
        <v>2.1</v>
      </c>
      <c r="J633" s="5" t="n">
        <v>232.8</v>
      </c>
      <c r="K633" s="5" t="n">
        <v>11</v>
      </c>
    </row>
    <row r="634" customFormat="false" ht="15" hidden="false" customHeight="false" outlineLevel="0" collapsed="false">
      <c r="A634" s="5" t="n">
        <v>590</v>
      </c>
      <c r="B634" s="5" t="n">
        <v>40</v>
      </c>
      <c r="C634" s="5" t="n">
        <v>22</v>
      </c>
      <c r="D634" s="5" t="n">
        <v>17</v>
      </c>
      <c r="E634" s="5" t="n">
        <v>10.5</v>
      </c>
      <c r="F634" s="5" t="n">
        <v>0</v>
      </c>
      <c r="G634" s="5" t="n">
        <v>10</v>
      </c>
      <c r="H634" s="5" t="n">
        <v>10.4</v>
      </c>
      <c r="I634" s="5" t="n">
        <v>2.5</v>
      </c>
      <c r="J634" s="5" t="n">
        <v>283.8</v>
      </c>
      <c r="K634" s="5" t="n">
        <v>11</v>
      </c>
    </row>
    <row r="635" customFormat="false" ht="15" hidden="false" customHeight="false" outlineLevel="0" collapsed="false">
      <c r="A635" s="5" t="n">
        <v>595</v>
      </c>
      <c r="B635" s="5" t="n">
        <v>40</v>
      </c>
      <c r="C635" s="5" t="n">
        <v>26.6</v>
      </c>
      <c r="D635" s="5" t="n">
        <v>18.6</v>
      </c>
      <c r="E635" s="5" t="n">
        <v>10.8</v>
      </c>
      <c r="F635" s="5" t="n">
        <v>0</v>
      </c>
      <c r="G635" s="5" t="n">
        <v>13.7</v>
      </c>
      <c r="H635" s="5" t="n">
        <v>12.4</v>
      </c>
      <c r="I635" s="5" t="n">
        <v>3.5</v>
      </c>
      <c r="J635" s="5" t="n">
        <v>327.2</v>
      </c>
      <c r="K635" s="5" t="n">
        <v>11</v>
      </c>
    </row>
    <row r="636" customFormat="false" ht="15" hidden="false" customHeight="false" outlineLevel="0" collapsed="false">
      <c r="A636" s="5" t="n">
        <v>600</v>
      </c>
      <c r="B636" s="5" t="n">
        <v>40</v>
      </c>
      <c r="C636" s="5" t="n">
        <v>32.4</v>
      </c>
      <c r="D636" s="5" t="n">
        <v>17.9</v>
      </c>
      <c r="E636" s="5" t="n">
        <v>11.8</v>
      </c>
      <c r="F636" s="5" t="n">
        <v>0</v>
      </c>
      <c r="G636" s="5" t="n">
        <v>-7.7</v>
      </c>
      <c r="H636" s="5" t="n">
        <v>-8.3</v>
      </c>
      <c r="I636" s="5" t="n">
        <v>3.8</v>
      </c>
      <c r="J636" s="5" t="n">
        <v>119.6</v>
      </c>
      <c r="K636" s="5" t="n">
        <v>11</v>
      </c>
    </row>
    <row r="637" customFormat="false" ht="15" hidden="false" customHeight="false" outlineLevel="0" collapsed="false">
      <c r="A637" s="5" t="n">
        <v>605</v>
      </c>
      <c r="B637" s="5" t="n">
        <v>40</v>
      </c>
      <c r="C637" s="5" t="n">
        <v>26.2</v>
      </c>
      <c r="D637" s="5" t="n">
        <v>17.8</v>
      </c>
      <c r="E637" s="5" t="n">
        <v>8.7</v>
      </c>
      <c r="F637" s="5" t="n">
        <v>0</v>
      </c>
      <c r="G637" s="5" t="n">
        <v>12</v>
      </c>
      <c r="H637" s="5" t="n">
        <v>13</v>
      </c>
      <c r="I637" s="5" t="n">
        <v>2.3</v>
      </c>
      <c r="J637" s="5" t="n">
        <v>118</v>
      </c>
      <c r="K637" s="5" t="n">
        <v>11</v>
      </c>
    </row>
    <row r="638" customFormat="false" ht="15" hidden="false" customHeight="false" outlineLevel="0" collapsed="false">
      <c r="A638" s="5" t="n">
        <v>610</v>
      </c>
      <c r="B638" s="5" t="n">
        <v>40</v>
      </c>
      <c r="C638" s="5" t="n">
        <v>26.2</v>
      </c>
      <c r="D638" s="5" t="n">
        <v>19.9</v>
      </c>
      <c r="E638" s="5" t="n">
        <v>12.3</v>
      </c>
      <c r="F638" s="5" t="n">
        <v>0</v>
      </c>
      <c r="G638" s="5" t="n">
        <v>14.9</v>
      </c>
      <c r="H638" s="5" t="n">
        <v>12.4</v>
      </c>
      <c r="I638" s="5" t="n">
        <v>3.3</v>
      </c>
      <c r="J638" s="5" t="n">
        <v>161.4</v>
      </c>
      <c r="K638" s="5" t="n">
        <v>11</v>
      </c>
    </row>
    <row r="639" customFormat="false" ht="15" hidden="false" customHeight="false" outlineLevel="0" collapsed="false">
      <c r="A639" s="5" t="n">
        <v>615</v>
      </c>
      <c r="B639" s="5" t="n">
        <v>40</v>
      </c>
      <c r="C639" s="5" t="n">
        <v>26.4</v>
      </c>
      <c r="D639" s="5" t="n">
        <v>19.1</v>
      </c>
      <c r="E639" s="5" t="n">
        <v>10.6</v>
      </c>
      <c r="F639" s="5" t="n">
        <v>0</v>
      </c>
      <c r="G639" s="5" t="n">
        <v>13.3</v>
      </c>
      <c r="H639" s="5" t="n">
        <v>13.3</v>
      </c>
      <c r="I639" s="5" t="n">
        <v>2.7</v>
      </c>
      <c r="J639" s="5" t="n">
        <v>205.2</v>
      </c>
      <c r="K639" s="5" t="n">
        <v>11</v>
      </c>
    </row>
    <row r="640" customFormat="false" ht="15" hidden="false" customHeight="false" outlineLevel="0" collapsed="false">
      <c r="A640" s="5" t="n">
        <v>620</v>
      </c>
      <c r="B640" s="5" t="n">
        <v>40</v>
      </c>
      <c r="C640" s="5" t="n">
        <v>28</v>
      </c>
      <c r="D640" s="5" t="n">
        <v>17.4</v>
      </c>
      <c r="E640" s="5" t="n">
        <v>9.8</v>
      </c>
      <c r="F640" s="5" t="n">
        <v>0</v>
      </c>
      <c r="G640" s="5" t="n">
        <v>13</v>
      </c>
      <c r="H640" s="5" t="n">
        <v>11.8</v>
      </c>
      <c r="I640" s="5" t="n">
        <v>2.8</v>
      </c>
      <c r="J640" s="5" t="n">
        <v>246.9</v>
      </c>
      <c r="K640" s="5" t="n">
        <v>11</v>
      </c>
    </row>
    <row r="641" customFormat="false" ht="15" hidden="false" customHeight="false" outlineLevel="0" collapsed="false">
      <c r="A641" s="5" t="n">
        <v>625</v>
      </c>
      <c r="B641" s="5" t="n">
        <v>40</v>
      </c>
      <c r="C641" s="5" t="n">
        <v>24.4</v>
      </c>
      <c r="D641" s="5" t="n">
        <v>18.4</v>
      </c>
      <c r="E641" s="5" t="n">
        <v>10.1</v>
      </c>
      <c r="F641" s="5" t="n">
        <v>0</v>
      </c>
      <c r="G641" s="5" t="n">
        <v>11</v>
      </c>
      <c r="H641" s="5" t="n">
        <v>13.1</v>
      </c>
      <c r="I641" s="5" t="n">
        <v>1.9</v>
      </c>
      <c r="J641" s="5" t="n">
        <v>281.6</v>
      </c>
      <c r="K641" s="5" t="n">
        <v>11</v>
      </c>
    </row>
    <row r="642" customFormat="false" ht="15" hidden="false" customHeight="false" outlineLevel="0" collapsed="false">
      <c r="A642" s="5" t="n">
        <v>630</v>
      </c>
      <c r="B642" s="5" t="n">
        <v>40</v>
      </c>
      <c r="C642" s="5" t="n">
        <v>33.4</v>
      </c>
      <c r="D642" s="5" t="n">
        <v>17.5</v>
      </c>
      <c r="E642" s="5" t="n">
        <v>8.9</v>
      </c>
      <c r="F642" s="5" t="n">
        <v>0</v>
      </c>
      <c r="G642" s="5" t="n">
        <v>-38.9</v>
      </c>
      <c r="H642" s="5" t="n">
        <v>-20.1</v>
      </c>
      <c r="I642" s="5" t="n">
        <v>2.4</v>
      </c>
      <c r="J642" s="5" t="n">
        <v>331.4</v>
      </c>
      <c r="K642" s="5" t="n">
        <v>11</v>
      </c>
    </row>
    <row r="643" customFormat="false" ht="15" hidden="false" customHeight="false" outlineLevel="0" collapsed="false">
      <c r="A643" s="5" t="n">
        <v>635</v>
      </c>
      <c r="B643" s="5" t="n">
        <v>40</v>
      </c>
      <c r="C643" s="5" t="n">
        <v>23.8</v>
      </c>
      <c r="D643" s="5" t="n">
        <v>18.3</v>
      </c>
      <c r="E643" s="5" t="n">
        <v>10.8</v>
      </c>
      <c r="F643" s="5" t="n">
        <v>0</v>
      </c>
      <c r="G643" s="5" t="n">
        <v>14.1</v>
      </c>
      <c r="H643" s="5" t="n">
        <v>12.6</v>
      </c>
      <c r="I643" s="5" t="n">
        <v>2.9</v>
      </c>
      <c r="J643" s="5" t="n">
        <v>78.8</v>
      </c>
      <c r="K643" s="5" t="n">
        <v>11</v>
      </c>
    </row>
    <row r="644" customFormat="false" ht="15" hidden="false" customHeight="false" outlineLevel="0" collapsed="false">
      <c r="A644" s="5" t="n">
        <v>640</v>
      </c>
      <c r="B644" s="5" t="n">
        <v>40</v>
      </c>
      <c r="C644" s="5" t="n">
        <v>26.2</v>
      </c>
      <c r="D644" s="5" t="n">
        <v>18.3</v>
      </c>
      <c r="E644" s="5" t="n">
        <v>9.4</v>
      </c>
      <c r="F644" s="5" t="n">
        <v>0</v>
      </c>
      <c r="G644" s="5" t="n">
        <v>10.6</v>
      </c>
      <c r="H644" s="5" t="n">
        <v>12.5</v>
      </c>
      <c r="I644" s="5" t="n">
        <v>1.8</v>
      </c>
      <c r="J644" s="5" t="n">
        <v>118.8</v>
      </c>
      <c r="K644" s="5" t="n">
        <v>11</v>
      </c>
    </row>
    <row r="645" customFormat="false" ht="15" hidden="false" customHeight="false" outlineLevel="0" collapsed="false">
      <c r="A645" s="5" t="n">
        <v>645</v>
      </c>
      <c r="B645" s="5" t="n">
        <v>40</v>
      </c>
      <c r="C645" s="5" t="n">
        <v>26.2</v>
      </c>
      <c r="D645" s="5" t="n">
        <v>20.5</v>
      </c>
      <c r="E645" s="5" t="n">
        <v>10.4</v>
      </c>
      <c r="F645" s="5" t="n">
        <v>0</v>
      </c>
      <c r="G645" s="5" t="n">
        <v>12.6</v>
      </c>
      <c r="H645" s="5" t="n">
        <v>12.8</v>
      </c>
      <c r="I645" s="5" t="n">
        <v>2.3</v>
      </c>
      <c r="J645" s="5" t="n">
        <v>171.8</v>
      </c>
      <c r="K645" s="5" t="n">
        <v>11</v>
      </c>
    </row>
    <row r="646" customFormat="false" ht="15" hidden="false" customHeight="false" outlineLevel="0" collapsed="false">
      <c r="A646" s="5" t="n">
        <v>650</v>
      </c>
      <c r="B646" s="5" t="n">
        <v>40</v>
      </c>
      <c r="C646" s="5" t="n">
        <v>25.2</v>
      </c>
      <c r="D646" s="5" t="n">
        <v>18</v>
      </c>
      <c r="E646" s="5" t="n">
        <v>9.9</v>
      </c>
      <c r="F646" s="5" t="n">
        <v>0</v>
      </c>
      <c r="G646" s="5" t="n">
        <v>11.8</v>
      </c>
      <c r="H646" s="5" t="n">
        <v>11.6</v>
      </c>
      <c r="I646" s="5" t="n">
        <v>2.4</v>
      </c>
      <c r="J646" s="5" t="n">
        <v>214.8</v>
      </c>
      <c r="K646" s="5" t="n">
        <v>11</v>
      </c>
    </row>
    <row r="647" customFormat="false" ht="15" hidden="false" customHeight="false" outlineLevel="0" collapsed="false">
      <c r="A647" s="5" t="n">
        <v>655</v>
      </c>
      <c r="B647" s="5" t="n">
        <v>40</v>
      </c>
      <c r="C647" s="5" t="n">
        <v>27.4</v>
      </c>
      <c r="D647" s="5" t="n">
        <v>18.6</v>
      </c>
      <c r="E647" s="5" t="n">
        <v>10</v>
      </c>
      <c r="F647" s="5" t="n">
        <v>0</v>
      </c>
      <c r="G647" s="5" t="n">
        <v>12.6</v>
      </c>
      <c r="H647" s="5" t="n">
        <v>12.8</v>
      </c>
      <c r="I647" s="5" t="n">
        <v>2.5</v>
      </c>
      <c r="J647" s="5" t="n">
        <v>258.6</v>
      </c>
      <c r="K647" s="5" t="n">
        <v>11</v>
      </c>
    </row>
    <row r="648" customFormat="false" ht="15" hidden="false" customHeight="false" outlineLevel="0" collapsed="false">
      <c r="A648" s="5" t="n">
        <v>660</v>
      </c>
      <c r="B648" s="5" t="n">
        <v>40</v>
      </c>
      <c r="C648" s="5" t="n">
        <v>36.8</v>
      </c>
      <c r="D648" s="5" t="n">
        <v>18</v>
      </c>
      <c r="E648" s="5" t="n">
        <v>9.3</v>
      </c>
      <c r="F648" s="5" t="n">
        <v>0</v>
      </c>
      <c r="G648" s="5" t="n">
        <v>7.4</v>
      </c>
      <c r="H648" s="5" t="n">
        <v>5.9</v>
      </c>
      <c r="I648" s="5" t="n">
        <v>2.6</v>
      </c>
      <c r="J648" s="5" t="n">
        <v>305.6</v>
      </c>
      <c r="K648" s="5" t="n">
        <v>11</v>
      </c>
    </row>
    <row r="649" customFormat="false" ht="15" hidden="false" customHeight="false" outlineLevel="0" collapsed="false">
      <c r="A649" s="5" t="n">
        <v>665</v>
      </c>
      <c r="B649" s="5" t="n">
        <v>40</v>
      </c>
      <c r="C649" s="5" t="n">
        <v>25.2</v>
      </c>
      <c r="D649" s="5" t="n">
        <v>18.3</v>
      </c>
      <c r="E649" s="5" t="n">
        <v>10.4</v>
      </c>
      <c r="F649" s="5" t="n">
        <v>0</v>
      </c>
      <c r="G649" s="5" t="n">
        <v>13.2</v>
      </c>
      <c r="H649" s="5" t="n">
        <v>11.8</v>
      </c>
      <c r="I649" s="5" t="n">
        <v>2.7</v>
      </c>
      <c r="J649" s="5" t="n">
        <v>174.4</v>
      </c>
      <c r="K649" s="5" t="n">
        <v>11</v>
      </c>
    </row>
    <row r="650" customFormat="false" ht="15" hidden="false" customHeight="false" outlineLevel="0" collapsed="false">
      <c r="A650" s="5" t="n">
        <v>670</v>
      </c>
      <c r="B650" s="5" t="n">
        <v>40</v>
      </c>
      <c r="C650" s="5" t="n">
        <v>24.2</v>
      </c>
      <c r="D650" s="5" t="n">
        <v>17.6</v>
      </c>
      <c r="E650" s="5" t="n">
        <v>8.7</v>
      </c>
      <c r="F650" s="5" t="n">
        <v>0</v>
      </c>
      <c r="G650" s="5" t="n">
        <v>9.8</v>
      </c>
      <c r="H650" s="5" t="n">
        <v>12</v>
      </c>
      <c r="I650" s="5" t="n">
        <v>2.1</v>
      </c>
      <c r="J650" s="5" t="n">
        <v>95.6</v>
      </c>
      <c r="K650" s="5" t="n">
        <v>11</v>
      </c>
    </row>
    <row r="651" customFormat="false" ht="15" hidden="false" customHeight="false" outlineLevel="0" collapsed="false">
      <c r="A651" s="5" t="n">
        <v>675</v>
      </c>
      <c r="B651" s="5" t="n">
        <v>40</v>
      </c>
      <c r="C651" s="5" t="n">
        <v>25.6</v>
      </c>
      <c r="D651" s="5" t="n">
        <v>19.2</v>
      </c>
      <c r="E651" s="5" t="n">
        <v>11.5</v>
      </c>
      <c r="F651" s="5" t="n">
        <v>0</v>
      </c>
      <c r="G651" s="5" t="n">
        <v>14.1</v>
      </c>
      <c r="H651" s="5" t="n">
        <v>13.1</v>
      </c>
      <c r="I651" s="5" t="n">
        <v>2.7</v>
      </c>
      <c r="J651" s="5" t="n">
        <v>142.6</v>
      </c>
      <c r="K651" s="5" t="n">
        <v>11</v>
      </c>
    </row>
    <row r="652" customFormat="false" ht="15" hidden="false" customHeight="false" outlineLevel="0" collapsed="false">
      <c r="A652" s="5" t="n">
        <v>680</v>
      </c>
      <c r="B652" s="5" t="n">
        <v>40</v>
      </c>
      <c r="C652" s="5" t="n">
        <v>26.2</v>
      </c>
      <c r="D652" s="5" t="n">
        <v>18.8</v>
      </c>
      <c r="E652" s="5" t="n">
        <v>9.7</v>
      </c>
      <c r="F652" s="5" t="n">
        <v>0</v>
      </c>
      <c r="G652" s="5" t="n">
        <v>12.4</v>
      </c>
      <c r="H652" s="5" t="n">
        <v>11.8</v>
      </c>
      <c r="I652" s="5" t="n">
        <v>2.2</v>
      </c>
      <c r="J652" s="5" t="n">
        <v>186.4</v>
      </c>
      <c r="K652" s="5" t="n">
        <v>11</v>
      </c>
    </row>
    <row r="653" customFormat="false" ht="15" hidden="false" customHeight="false" outlineLevel="0" collapsed="false">
      <c r="A653" s="5" t="n">
        <v>685</v>
      </c>
      <c r="B653" s="5" t="n">
        <v>40</v>
      </c>
      <c r="C653" s="5" t="n">
        <v>26.4</v>
      </c>
      <c r="D653" s="5" t="n">
        <v>17.6</v>
      </c>
      <c r="E653" s="5" t="n">
        <v>9.8</v>
      </c>
      <c r="F653" s="5" t="n">
        <v>0</v>
      </c>
      <c r="G653" s="5" t="n">
        <v>16.1</v>
      </c>
      <c r="H653" s="5" t="n">
        <v>13.3</v>
      </c>
      <c r="I653" s="5" t="n">
        <v>2.8</v>
      </c>
      <c r="J653" s="5" t="n">
        <v>229.4</v>
      </c>
      <c r="K653" s="5" t="n">
        <v>11</v>
      </c>
    </row>
    <row r="654" customFormat="false" ht="15" hidden="false" customHeight="false" outlineLevel="0" collapsed="false">
      <c r="A654" s="5" t="n">
        <v>690</v>
      </c>
      <c r="B654" s="5" t="n">
        <v>40</v>
      </c>
      <c r="C654" s="5" t="n">
        <v>32.4</v>
      </c>
      <c r="D654" s="5" t="n">
        <v>16.8</v>
      </c>
      <c r="E654" s="5" t="n">
        <v>9.6</v>
      </c>
      <c r="F654" s="5" t="n">
        <v>0</v>
      </c>
      <c r="G654" s="5" t="n">
        <v>4.6</v>
      </c>
      <c r="H654" s="5" t="n">
        <v>3.8</v>
      </c>
      <c r="I654" s="5" t="n">
        <v>2.3</v>
      </c>
      <c r="J654" s="5" t="n">
        <v>274.7</v>
      </c>
      <c r="K654" s="5" t="n">
        <v>11</v>
      </c>
    </row>
    <row r="655" customFormat="false" ht="15" hidden="false" customHeight="false" outlineLevel="0" collapsed="false">
      <c r="A655" s="5" t="n">
        <v>695</v>
      </c>
      <c r="B655" s="5" t="n">
        <v>40</v>
      </c>
      <c r="C655" s="5" t="n">
        <v>27.6</v>
      </c>
      <c r="D655" s="5" t="n">
        <v>17.8</v>
      </c>
      <c r="E655" s="5" t="n">
        <v>8.5</v>
      </c>
      <c r="F655" s="5" t="n">
        <v>0</v>
      </c>
      <c r="G655" s="5" t="n">
        <v>12.8</v>
      </c>
      <c r="H655" s="5" t="n">
        <v>12.4</v>
      </c>
      <c r="I655" s="5" t="n">
        <v>2.7</v>
      </c>
      <c r="J655" s="5" t="n">
        <v>323.2</v>
      </c>
      <c r="K655" s="5" t="n">
        <v>11</v>
      </c>
    </row>
    <row r="656" customFormat="false" ht="15" hidden="false" customHeight="false" outlineLevel="0" collapsed="false">
      <c r="A656" s="5" t="n">
        <v>700</v>
      </c>
      <c r="B656" s="5" t="n">
        <v>40</v>
      </c>
      <c r="C656" s="5" t="n">
        <v>24.6</v>
      </c>
      <c r="D656" s="5" t="n">
        <v>18</v>
      </c>
      <c r="E656" s="5" t="n">
        <v>12.2</v>
      </c>
      <c r="F656" s="5" t="n">
        <v>0</v>
      </c>
      <c r="G656" s="5" t="n">
        <v>12.1</v>
      </c>
      <c r="H656" s="5" t="n">
        <v>11.7</v>
      </c>
      <c r="I656" s="5" t="n">
        <v>2.8</v>
      </c>
      <c r="J656" s="5" t="n">
        <v>187.4</v>
      </c>
      <c r="K656" s="5" t="n">
        <v>11</v>
      </c>
    </row>
    <row r="657" customFormat="false" ht="15" hidden="false" customHeight="false" outlineLevel="0" collapsed="false">
      <c r="A657" s="5" t="n">
        <v>705</v>
      </c>
      <c r="B657" s="5" t="n">
        <v>40</v>
      </c>
      <c r="C657" s="5" t="n">
        <v>26.4</v>
      </c>
      <c r="D657" s="5" t="n">
        <v>18.5</v>
      </c>
      <c r="E657" s="5" t="n">
        <v>9.8</v>
      </c>
      <c r="F657" s="5" t="n">
        <v>0</v>
      </c>
      <c r="G657" s="5" t="n">
        <v>12.2</v>
      </c>
      <c r="H657" s="5" t="n">
        <v>12.6</v>
      </c>
      <c r="I657" s="5" t="n">
        <v>2.4</v>
      </c>
      <c r="J657" s="5" t="n">
        <v>114.8</v>
      </c>
      <c r="K657" s="5" t="n">
        <v>11</v>
      </c>
    </row>
    <row r="658" customFormat="false" ht="15" hidden="false" customHeight="false" outlineLevel="0" collapsed="false">
      <c r="A658" s="5" t="n">
        <v>710</v>
      </c>
      <c r="B658" s="5" t="n">
        <v>40</v>
      </c>
      <c r="C658" s="5" t="n">
        <v>25</v>
      </c>
      <c r="D658" s="5" t="n">
        <v>18.6</v>
      </c>
      <c r="E658" s="5" t="n">
        <v>9.7</v>
      </c>
      <c r="F658" s="5" t="n">
        <v>0</v>
      </c>
      <c r="G658" s="5" t="n">
        <v>11.4</v>
      </c>
      <c r="H658" s="5" t="n">
        <v>11.8</v>
      </c>
      <c r="I658" s="5" t="n">
        <v>2.2</v>
      </c>
      <c r="J658" s="5" t="n">
        <v>158.2</v>
      </c>
      <c r="K658" s="5" t="n">
        <v>11</v>
      </c>
    </row>
    <row r="659" customFormat="false" ht="15" hidden="false" customHeight="false" outlineLevel="0" collapsed="false">
      <c r="A659" s="5" t="n">
        <v>715</v>
      </c>
      <c r="B659" s="5" t="n">
        <v>40</v>
      </c>
      <c r="C659" s="5" t="n">
        <v>28.4</v>
      </c>
      <c r="D659" s="5" t="n">
        <v>18.4</v>
      </c>
      <c r="E659" s="5" t="n">
        <v>8.6</v>
      </c>
      <c r="F659" s="5" t="n">
        <v>0</v>
      </c>
      <c r="G659" s="5" t="n">
        <v>12.2</v>
      </c>
      <c r="H659" s="5" t="n">
        <v>13</v>
      </c>
      <c r="I659" s="5" t="n">
        <v>2.3</v>
      </c>
      <c r="J659" s="5" t="n">
        <v>197.2</v>
      </c>
      <c r="K659" s="5" t="n">
        <v>11</v>
      </c>
    </row>
    <row r="660" customFormat="false" ht="15" hidden="false" customHeight="false" outlineLevel="0" collapsed="false">
      <c r="A660" s="5" t="n">
        <v>720</v>
      </c>
      <c r="B660" s="5" t="n">
        <v>40</v>
      </c>
      <c r="C660" s="5" t="n">
        <v>27.8</v>
      </c>
      <c r="D660" s="5" t="n">
        <v>18.6</v>
      </c>
      <c r="E660" s="5" t="n">
        <v>10.8</v>
      </c>
      <c r="F660" s="5" t="n">
        <v>0</v>
      </c>
      <c r="G660" s="5" t="n">
        <v>0.8</v>
      </c>
      <c r="H660" s="5" t="n">
        <v>-2</v>
      </c>
      <c r="I660" s="5" t="n">
        <v>2.7</v>
      </c>
      <c r="J660" s="5" t="n">
        <v>244.8</v>
      </c>
      <c r="K660" s="5" t="n">
        <v>11</v>
      </c>
    </row>
    <row r="661" customFormat="false" ht="15" hidden="false" customHeight="false" outlineLevel="0" collapsed="false">
      <c r="A661" s="5" t="n">
        <v>725</v>
      </c>
      <c r="B661" s="5" t="n">
        <v>40</v>
      </c>
      <c r="C661" s="5" t="n">
        <v>26.4</v>
      </c>
      <c r="D661" s="5" t="n">
        <v>18.7</v>
      </c>
      <c r="E661" s="5" t="n">
        <v>9.1</v>
      </c>
      <c r="F661" s="5" t="n">
        <v>0</v>
      </c>
      <c r="G661" s="5" t="n">
        <v>10</v>
      </c>
      <c r="H661" s="5" t="n">
        <v>10.3</v>
      </c>
      <c r="I661" s="5" t="n">
        <v>1.9</v>
      </c>
      <c r="J661" s="5" t="n">
        <v>284.2</v>
      </c>
      <c r="K661" s="5" t="n">
        <v>11</v>
      </c>
    </row>
    <row r="662" customFormat="false" ht="15" hidden="false" customHeight="false" outlineLevel="0" collapsed="false">
      <c r="A662" s="5" t="n">
        <v>730</v>
      </c>
      <c r="B662" s="5" t="n">
        <v>40</v>
      </c>
      <c r="C662" s="5" t="n">
        <v>27.2</v>
      </c>
      <c r="D662" s="5" t="n">
        <v>17.8</v>
      </c>
      <c r="E662" s="5" t="n">
        <v>8.4</v>
      </c>
      <c r="F662" s="5" t="n">
        <v>0</v>
      </c>
      <c r="G662" s="5" t="n">
        <v>12.4</v>
      </c>
      <c r="H662" s="5" t="n">
        <v>12</v>
      </c>
      <c r="I662" s="5" t="n">
        <v>2.2</v>
      </c>
      <c r="J662" s="5" t="n">
        <v>328.2</v>
      </c>
      <c r="K662" s="5" t="n">
        <v>11</v>
      </c>
    </row>
    <row r="663" customFormat="false" ht="15" hidden="false" customHeight="false" outlineLevel="0" collapsed="false">
      <c r="A663" s="5" t="n">
        <v>735</v>
      </c>
      <c r="B663" s="5" t="n">
        <v>40</v>
      </c>
      <c r="C663" s="5" t="n">
        <v>28.6</v>
      </c>
      <c r="D663" s="5" t="n">
        <v>18.1</v>
      </c>
      <c r="E663" s="5" t="n">
        <v>10.6</v>
      </c>
      <c r="F663" s="5" t="n">
        <v>0</v>
      </c>
      <c r="G663" s="5" t="n">
        <v>15.9</v>
      </c>
      <c r="H663" s="5" t="n">
        <v>13.5</v>
      </c>
      <c r="I663" s="5" t="n">
        <v>3.2</v>
      </c>
      <c r="J663" s="5" t="n">
        <v>70</v>
      </c>
      <c r="K663" s="5" t="n">
        <v>11</v>
      </c>
    </row>
    <row r="664" customFormat="false" ht="15" hidden="false" customHeight="false" outlineLevel="0" collapsed="false">
      <c r="A664" s="5" t="n">
        <v>740</v>
      </c>
      <c r="B664" s="5" t="n">
        <v>40</v>
      </c>
      <c r="C664" s="5" t="n">
        <v>25.2</v>
      </c>
      <c r="D664" s="5" t="n">
        <v>18.2</v>
      </c>
      <c r="E664" s="5" t="n">
        <v>10.1</v>
      </c>
      <c r="F664" s="5" t="n">
        <v>0</v>
      </c>
      <c r="G664" s="5" t="n">
        <v>12.2</v>
      </c>
      <c r="H664" s="5" t="n">
        <v>12.5</v>
      </c>
      <c r="I664" s="5" t="n">
        <v>2.6</v>
      </c>
      <c r="J664" s="5" t="n">
        <v>114.4</v>
      </c>
      <c r="K664" s="5" t="n">
        <v>11</v>
      </c>
    </row>
    <row r="665" customFormat="false" ht="15" hidden="false" customHeight="false" outlineLevel="0" collapsed="false">
      <c r="A665" s="5" t="n">
        <v>745</v>
      </c>
      <c r="B665" s="5" t="n">
        <v>40</v>
      </c>
      <c r="C665" s="5" t="n">
        <v>25.8</v>
      </c>
      <c r="D665" s="5" t="n">
        <v>18.3</v>
      </c>
      <c r="E665" s="5" t="n">
        <v>9.9</v>
      </c>
      <c r="F665" s="5" t="n">
        <v>0</v>
      </c>
      <c r="G665" s="5" t="n">
        <v>11.8</v>
      </c>
      <c r="H665" s="5" t="n">
        <v>12</v>
      </c>
      <c r="I665" s="5" t="n">
        <v>2.4</v>
      </c>
      <c r="J665" s="5" t="n">
        <v>149.4</v>
      </c>
      <c r="K665" s="5" t="n">
        <v>11</v>
      </c>
    </row>
    <row r="666" customFormat="false" ht="15" hidden="false" customHeight="false" outlineLevel="0" collapsed="false">
      <c r="A666" s="5" t="n">
        <v>750</v>
      </c>
      <c r="B666" s="5" t="n">
        <v>40</v>
      </c>
      <c r="C666" s="5" t="n">
        <v>24.4</v>
      </c>
      <c r="D666" s="5" t="n">
        <v>17.6</v>
      </c>
      <c r="E666" s="5" t="n">
        <v>9.6</v>
      </c>
      <c r="F666" s="5" t="n">
        <v>0</v>
      </c>
      <c r="G666" s="5" t="n">
        <v>12.6</v>
      </c>
      <c r="H666" s="5" t="n">
        <v>11.4</v>
      </c>
      <c r="I666" s="5" t="n">
        <v>2.6</v>
      </c>
      <c r="J666" s="5" t="n">
        <v>193</v>
      </c>
      <c r="K666" s="5" t="n">
        <v>11</v>
      </c>
    </row>
    <row r="667" customFormat="false" ht="15" hidden="false" customHeight="false" outlineLevel="0" collapsed="false">
      <c r="A667" s="5" t="n">
        <v>755</v>
      </c>
      <c r="B667" s="5" t="n">
        <v>40</v>
      </c>
      <c r="C667" s="5" t="n">
        <v>29</v>
      </c>
      <c r="D667" s="5" t="n">
        <v>18.1</v>
      </c>
      <c r="E667" s="5" t="n">
        <v>9.6</v>
      </c>
      <c r="F667" s="5" t="n">
        <v>0</v>
      </c>
      <c r="G667" s="5" t="n">
        <v>0.9</v>
      </c>
      <c r="H667" s="5" t="n">
        <v>3.7</v>
      </c>
      <c r="I667" s="5" t="n">
        <v>2.3</v>
      </c>
      <c r="J667" s="5" t="n">
        <v>244</v>
      </c>
      <c r="K667" s="5" t="n">
        <v>11</v>
      </c>
    </row>
    <row r="668" customFormat="false" ht="15" hidden="false" customHeight="false" outlineLevel="0" collapsed="false">
      <c r="A668" s="5" t="n">
        <v>760</v>
      </c>
      <c r="B668" s="5" t="n">
        <v>40</v>
      </c>
      <c r="C668" s="5" t="n">
        <v>25.8</v>
      </c>
      <c r="D668" s="5" t="n">
        <v>17.9</v>
      </c>
      <c r="E668" s="5" t="n">
        <v>9.4</v>
      </c>
      <c r="F668" s="5" t="n">
        <v>0</v>
      </c>
      <c r="G668" s="5" t="n">
        <v>12</v>
      </c>
      <c r="H668" s="5" t="n">
        <v>12.2</v>
      </c>
      <c r="I668" s="5" t="n">
        <v>2.4</v>
      </c>
      <c r="J668" s="5" t="n">
        <v>296.1</v>
      </c>
      <c r="K668" s="5" t="n">
        <v>11</v>
      </c>
    </row>
    <row r="669" customFormat="false" ht="15" hidden="false" customHeight="false" outlineLevel="0" collapsed="false">
      <c r="A669" s="5" t="n">
        <v>765</v>
      </c>
      <c r="B669" s="5" t="n">
        <v>40</v>
      </c>
      <c r="C669" s="5" t="n">
        <v>27.4</v>
      </c>
      <c r="D669" s="5" t="n">
        <v>18.2</v>
      </c>
      <c r="E669" s="5" t="n">
        <v>9.4</v>
      </c>
      <c r="F669" s="5" t="n">
        <v>0</v>
      </c>
      <c r="G669" s="5" t="n">
        <v>12.5</v>
      </c>
      <c r="H669" s="5" t="n">
        <v>12.3</v>
      </c>
      <c r="I669" s="5" t="n">
        <v>2.5</v>
      </c>
      <c r="J669" s="5" t="n">
        <v>332</v>
      </c>
      <c r="K669" s="5" t="n">
        <v>11</v>
      </c>
    </row>
    <row r="670" customFormat="false" ht="15" hidden="false" customHeight="false" outlineLevel="0" collapsed="false">
      <c r="A670" s="5" t="n">
        <v>770</v>
      </c>
      <c r="B670" s="5" t="n">
        <v>40</v>
      </c>
      <c r="C670" s="5" t="n">
        <v>26.6</v>
      </c>
      <c r="D670" s="5" t="n">
        <v>19</v>
      </c>
      <c r="E670" s="5" t="n">
        <v>9.7</v>
      </c>
      <c r="F670" s="5" t="n">
        <v>0</v>
      </c>
      <c r="G670" s="5" t="n">
        <v>12.3</v>
      </c>
      <c r="H670" s="5" t="n">
        <v>12.7</v>
      </c>
      <c r="I670" s="5" t="n">
        <v>2.5</v>
      </c>
      <c r="J670" s="5" t="n">
        <v>72.8</v>
      </c>
      <c r="K670" s="5" t="n">
        <v>11</v>
      </c>
    </row>
    <row r="671" customFormat="false" ht="15" hidden="false" customHeight="false" outlineLevel="0" collapsed="false">
      <c r="A671" s="5" t="n">
        <v>775</v>
      </c>
      <c r="B671" s="5" t="n">
        <v>40</v>
      </c>
      <c r="C671" s="5" t="n">
        <v>25.6</v>
      </c>
      <c r="D671" s="5" t="n">
        <v>17.7</v>
      </c>
      <c r="E671" s="5" t="n">
        <v>10</v>
      </c>
      <c r="F671" s="5" t="n">
        <v>0</v>
      </c>
      <c r="G671" s="5" t="n">
        <v>12.2</v>
      </c>
      <c r="H671" s="5" t="n">
        <v>11.6</v>
      </c>
      <c r="I671" s="5" t="n">
        <v>2.4</v>
      </c>
      <c r="J671" s="5" t="n">
        <v>116.4</v>
      </c>
      <c r="K671" s="5" t="n">
        <v>11</v>
      </c>
    </row>
    <row r="672" customFormat="false" ht="15" hidden="false" customHeight="false" outlineLevel="0" collapsed="false">
      <c r="A672" s="5" t="n">
        <v>780</v>
      </c>
      <c r="B672" s="5" t="n">
        <v>40</v>
      </c>
      <c r="C672" s="5" t="n">
        <v>25.2</v>
      </c>
      <c r="D672" s="5" t="n">
        <v>18.6</v>
      </c>
      <c r="E672" s="5" t="n">
        <v>10.7</v>
      </c>
      <c r="F672" s="5" t="n">
        <v>0</v>
      </c>
      <c r="G672" s="5" t="n">
        <v>12</v>
      </c>
      <c r="H672" s="5" t="n">
        <v>12.3</v>
      </c>
      <c r="I672" s="5" t="n">
        <v>2.8</v>
      </c>
      <c r="J672" s="5" t="n">
        <v>158.6</v>
      </c>
      <c r="K672" s="5" t="n">
        <v>11</v>
      </c>
    </row>
    <row r="673" customFormat="false" ht="15" hidden="false" customHeight="false" outlineLevel="0" collapsed="false">
      <c r="A673" s="5" t="n">
        <v>785</v>
      </c>
      <c r="B673" s="5" t="n">
        <v>40</v>
      </c>
      <c r="C673" s="5" t="n">
        <v>33.2</v>
      </c>
      <c r="D673" s="5" t="n">
        <v>18.9</v>
      </c>
      <c r="E673" s="5" t="n">
        <v>10.4</v>
      </c>
      <c r="F673" s="5" t="n">
        <v>0</v>
      </c>
      <c r="G673" s="5" t="n">
        <v>4.1</v>
      </c>
      <c r="H673" s="5" t="n">
        <v>3.8</v>
      </c>
      <c r="I673" s="5" t="n">
        <v>2.8</v>
      </c>
      <c r="J673" s="5" t="n">
        <v>210.6</v>
      </c>
      <c r="K673" s="5" t="n">
        <v>11</v>
      </c>
    </row>
    <row r="674" customFormat="false" ht="15" hidden="false" customHeight="false" outlineLevel="0" collapsed="false">
      <c r="A674" s="5" t="n">
        <v>790</v>
      </c>
      <c r="B674" s="5" t="n">
        <v>40</v>
      </c>
      <c r="C674" s="5" t="n">
        <v>24.6</v>
      </c>
      <c r="D674" s="5" t="n">
        <v>17.2</v>
      </c>
      <c r="E674" s="5" t="n">
        <v>9.3</v>
      </c>
      <c r="F674" s="5" t="n">
        <v>0</v>
      </c>
      <c r="G674" s="5" t="n">
        <v>11.2</v>
      </c>
      <c r="H674" s="5" t="n">
        <v>10.6</v>
      </c>
      <c r="I674" s="5" t="n">
        <v>2.1</v>
      </c>
      <c r="J674" s="5" t="n">
        <v>256.6</v>
      </c>
      <c r="K674" s="5" t="n">
        <v>11</v>
      </c>
    </row>
    <row r="675" customFormat="false" ht="15" hidden="false" customHeight="false" outlineLevel="0" collapsed="false">
      <c r="A675" s="5" t="n">
        <v>795</v>
      </c>
      <c r="B675" s="5" t="n">
        <v>40</v>
      </c>
      <c r="C675" s="5" t="n">
        <v>26</v>
      </c>
      <c r="D675" s="5" t="n">
        <v>19.9</v>
      </c>
      <c r="E675" s="5" t="n">
        <v>10.6</v>
      </c>
      <c r="F675" s="5" t="n">
        <v>0</v>
      </c>
      <c r="G675" s="5" t="n">
        <v>12.6</v>
      </c>
      <c r="H675" s="5" t="n">
        <v>13.7</v>
      </c>
      <c r="I675" s="5" t="n">
        <v>2.5</v>
      </c>
      <c r="J675" s="5" t="n">
        <v>298.6</v>
      </c>
      <c r="K675" s="5" t="n">
        <v>11</v>
      </c>
    </row>
    <row r="676" customFormat="false" ht="15" hidden="false" customHeight="false" outlineLevel="0" collapsed="false">
      <c r="A676" s="5" t="n">
        <v>800</v>
      </c>
      <c r="B676" s="5" t="n">
        <v>40</v>
      </c>
      <c r="C676" s="5" t="n">
        <v>24.4</v>
      </c>
      <c r="D676" s="5" t="n">
        <v>19.6</v>
      </c>
      <c r="E676" s="5" t="n">
        <v>10.3</v>
      </c>
      <c r="F676" s="5" t="n">
        <v>0</v>
      </c>
      <c r="G676" s="5" t="n">
        <v>14.1</v>
      </c>
      <c r="H676" s="5" t="n">
        <v>11.6</v>
      </c>
      <c r="I676" s="5" t="n">
        <v>2.7</v>
      </c>
      <c r="J676" s="5" t="n">
        <v>282</v>
      </c>
      <c r="K676" s="5" t="n">
        <v>11</v>
      </c>
    </row>
    <row r="677" customFormat="false" ht="15" hidden="false" customHeight="false" outlineLevel="0" collapsed="false">
      <c r="A677" s="5" t="n">
        <v>805</v>
      </c>
      <c r="B677" s="5" t="n">
        <v>40</v>
      </c>
      <c r="C677" s="5" t="n">
        <v>28.2</v>
      </c>
      <c r="D677" s="5" t="n">
        <v>17.9</v>
      </c>
      <c r="E677" s="5" t="n">
        <v>9.3</v>
      </c>
      <c r="F677" s="5" t="n">
        <v>0</v>
      </c>
      <c r="G677" s="5" t="n">
        <v>11.1</v>
      </c>
      <c r="H677" s="5" t="n">
        <v>12.1</v>
      </c>
      <c r="I677" s="5" t="n">
        <v>2.1</v>
      </c>
      <c r="J677" s="5" t="n">
        <v>82.5</v>
      </c>
      <c r="K677" s="5" t="n">
        <v>11</v>
      </c>
    </row>
    <row r="678" customFormat="false" ht="15" hidden="false" customHeight="false" outlineLevel="0" collapsed="false">
      <c r="A678" s="5" t="n">
        <v>810</v>
      </c>
      <c r="B678" s="5" t="n">
        <v>40</v>
      </c>
      <c r="C678" s="5" t="n">
        <v>26.8</v>
      </c>
      <c r="D678" s="5" t="n">
        <v>17.7</v>
      </c>
      <c r="E678" s="5" t="n">
        <v>8.7</v>
      </c>
      <c r="F678" s="5" t="n">
        <v>0</v>
      </c>
      <c r="G678" s="5" t="n">
        <v>10.4</v>
      </c>
      <c r="H678" s="5" t="n">
        <v>12.5</v>
      </c>
      <c r="I678" s="5" t="n">
        <v>1.9</v>
      </c>
      <c r="J678" s="5" t="n">
        <v>122.3</v>
      </c>
      <c r="K678" s="5" t="n">
        <v>11</v>
      </c>
    </row>
    <row r="679" customFormat="false" ht="15" hidden="false" customHeight="false" outlineLevel="0" collapsed="false">
      <c r="A679" s="5" t="n">
        <v>815</v>
      </c>
      <c r="B679" s="5" t="n">
        <v>40</v>
      </c>
      <c r="C679" s="5" t="n">
        <v>31.4</v>
      </c>
      <c r="D679" s="5" t="n">
        <v>18.7</v>
      </c>
      <c r="E679" s="5" t="n">
        <v>10.3</v>
      </c>
      <c r="F679" s="5" t="n">
        <v>0</v>
      </c>
      <c r="G679" s="5" t="n">
        <v>6.4</v>
      </c>
      <c r="H679" s="5" t="n">
        <v>2.5</v>
      </c>
      <c r="I679" s="5" t="n">
        <v>3.1</v>
      </c>
      <c r="J679" s="5" t="n">
        <v>173.3</v>
      </c>
      <c r="K679" s="5" t="n">
        <v>11</v>
      </c>
    </row>
    <row r="680" customFormat="false" ht="15" hidden="false" customHeight="false" outlineLevel="0" collapsed="false">
      <c r="A680" s="5" t="n">
        <v>820</v>
      </c>
      <c r="B680" s="5" t="n">
        <v>40</v>
      </c>
      <c r="C680" s="5" t="n">
        <v>26</v>
      </c>
      <c r="D680" s="5" t="n">
        <v>17.7</v>
      </c>
      <c r="E680" s="5" t="n">
        <v>8.9</v>
      </c>
      <c r="F680" s="5" t="n">
        <v>0</v>
      </c>
      <c r="G680" s="5" t="n">
        <v>11.2</v>
      </c>
      <c r="H680" s="5" t="n">
        <v>11.6</v>
      </c>
      <c r="I680" s="5" t="n">
        <v>2.1</v>
      </c>
      <c r="J680" s="5" t="n">
        <v>227.5</v>
      </c>
      <c r="K680" s="5" t="n">
        <v>11</v>
      </c>
    </row>
    <row r="681" customFormat="false" ht="15" hidden="false" customHeight="false" outlineLevel="0" collapsed="false">
      <c r="A681" s="5" t="n">
        <v>825</v>
      </c>
      <c r="B681" s="5" t="n">
        <v>40</v>
      </c>
      <c r="C681" s="5" t="n">
        <v>25</v>
      </c>
      <c r="D681" s="5" t="n">
        <v>18.4</v>
      </c>
      <c r="E681" s="5" t="n">
        <v>8.9</v>
      </c>
      <c r="F681" s="5" t="n">
        <v>0</v>
      </c>
      <c r="G681" s="5" t="n">
        <v>11.6</v>
      </c>
      <c r="H681" s="5" t="n">
        <v>12</v>
      </c>
      <c r="I681" s="5" t="n">
        <v>2.5</v>
      </c>
      <c r="J681" s="5" t="n">
        <v>269.9</v>
      </c>
      <c r="K681" s="5" t="n">
        <v>11</v>
      </c>
    </row>
    <row r="682" customFormat="false" ht="15" hidden="false" customHeight="false" outlineLevel="0" collapsed="false">
      <c r="A682" s="5" t="n">
        <v>830</v>
      </c>
      <c r="B682" s="5" t="n">
        <v>40</v>
      </c>
      <c r="C682" s="5" t="n">
        <v>26.6</v>
      </c>
      <c r="D682" s="5" t="n">
        <v>18.7</v>
      </c>
      <c r="E682" s="5" t="n">
        <v>11.1</v>
      </c>
      <c r="F682" s="5" t="n">
        <v>0</v>
      </c>
      <c r="G682" s="5" t="n">
        <v>11.2</v>
      </c>
      <c r="H682" s="5" t="n">
        <v>12.9</v>
      </c>
      <c r="I682" s="5" t="n">
        <v>2.3</v>
      </c>
      <c r="J682" s="5" t="n">
        <v>313.7</v>
      </c>
      <c r="K682" s="5" t="n">
        <v>11</v>
      </c>
    </row>
    <row r="683" customFormat="false" ht="15" hidden="false" customHeight="false" outlineLevel="0" collapsed="false">
      <c r="A683" s="5" t="n">
        <v>835</v>
      </c>
      <c r="B683" s="5" t="n">
        <v>40</v>
      </c>
      <c r="C683" s="5" t="n">
        <v>24.4</v>
      </c>
      <c r="D683" s="5" t="n">
        <v>19.5</v>
      </c>
      <c r="E683" s="5" t="n">
        <v>12.3</v>
      </c>
      <c r="F683" s="5" t="n">
        <v>0</v>
      </c>
      <c r="G683" s="5" t="n">
        <v>14.6</v>
      </c>
      <c r="H683" s="5" t="n">
        <v>12.3</v>
      </c>
      <c r="I683" s="5" t="n">
        <v>3.1</v>
      </c>
      <c r="J683" s="5" t="n">
        <v>234.3</v>
      </c>
      <c r="K683" s="5" t="n">
        <v>11</v>
      </c>
    </row>
    <row r="684" customFormat="false" ht="15" hidden="false" customHeight="false" outlineLevel="0" collapsed="false">
      <c r="A684" s="5" t="n">
        <v>840</v>
      </c>
      <c r="B684" s="5" t="n">
        <v>40</v>
      </c>
      <c r="C684" s="5" t="n">
        <v>25.6</v>
      </c>
      <c r="D684" s="5" t="n">
        <v>20.4</v>
      </c>
      <c r="E684" s="5" t="n">
        <v>9.6</v>
      </c>
      <c r="F684" s="5" t="n">
        <v>0</v>
      </c>
      <c r="G684" s="5" t="n">
        <v>12.3</v>
      </c>
      <c r="H684" s="5" t="n">
        <v>12.1</v>
      </c>
      <c r="I684" s="5" t="n">
        <v>2.1</v>
      </c>
      <c r="J684" s="5" t="n">
        <v>93.6</v>
      </c>
      <c r="K684" s="5" t="n">
        <v>11</v>
      </c>
    </row>
    <row r="685" customFormat="false" ht="15" hidden="false" customHeight="false" outlineLevel="0" collapsed="false">
      <c r="A685" s="5" t="n">
        <v>845</v>
      </c>
      <c r="B685" s="5" t="n">
        <v>40</v>
      </c>
      <c r="C685" s="5" t="n">
        <v>34.2</v>
      </c>
      <c r="D685" s="5" t="n">
        <v>20.2</v>
      </c>
      <c r="E685" s="5" t="n">
        <v>11.2</v>
      </c>
      <c r="F685" s="5" t="n">
        <v>0</v>
      </c>
      <c r="G685" s="5" t="n">
        <v>7.8</v>
      </c>
      <c r="H685" s="5" t="n">
        <v>6.8</v>
      </c>
      <c r="I685" s="5" t="n">
        <v>3.1</v>
      </c>
      <c r="J685" s="5" t="n">
        <v>143.1</v>
      </c>
      <c r="K685" s="5" t="n">
        <v>11</v>
      </c>
    </row>
    <row r="686" customFormat="false" ht="15" hidden="false" customHeight="false" outlineLevel="0" collapsed="false">
      <c r="A686" s="5" t="n">
        <v>850</v>
      </c>
      <c r="B686" s="5" t="n">
        <v>40</v>
      </c>
      <c r="C686" s="5" t="n">
        <v>24.8</v>
      </c>
      <c r="D686" s="5" t="n">
        <v>20.2</v>
      </c>
      <c r="E686" s="5" t="n">
        <v>11.3</v>
      </c>
      <c r="F686" s="5" t="n">
        <v>0</v>
      </c>
      <c r="G686" s="5" t="n">
        <v>16.9</v>
      </c>
      <c r="H686" s="5" t="n">
        <v>12.6</v>
      </c>
      <c r="I686" s="5" t="n">
        <v>3.3</v>
      </c>
      <c r="J686" s="5" t="n">
        <v>189.2</v>
      </c>
      <c r="K686" s="5" t="n">
        <v>11</v>
      </c>
    </row>
    <row r="687" customFormat="false" ht="15" hidden="false" customHeight="false" outlineLevel="0" collapsed="false">
      <c r="A687" s="5" t="n">
        <v>855</v>
      </c>
      <c r="B687" s="5" t="n">
        <v>40</v>
      </c>
      <c r="C687" s="5" t="n">
        <v>27.4</v>
      </c>
      <c r="D687" s="5" t="n">
        <v>19.6</v>
      </c>
      <c r="E687" s="5" t="n">
        <v>10</v>
      </c>
      <c r="F687" s="5" t="n">
        <v>0</v>
      </c>
      <c r="G687" s="5" t="n">
        <v>11.7</v>
      </c>
      <c r="H687" s="5" t="n">
        <v>11.7</v>
      </c>
      <c r="I687" s="5" t="n">
        <v>2.3</v>
      </c>
      <c r="J687" s="5" t="n">
        <v>228.4</v>
      </c>
      <c r="K687" s="5" t="n">
        <v>11</v>
      </c>
    </row>
    <row r="688" customFormat="false" ht="15" hidden="false" customHeight="false" outlineLevel="0" collapsed="false">
      <c r="A688" s="5" t="n">
        <v>860</v>
      </c>
      <c r="B688" s="5" t="n">
        <v>40</v>
      </c>
      <c r="C688" s="5" t="n">
        <v>25.8</v>
      </c>
      <c r="D688" s="5" t="n">
        <v>21.3</v>
      </c>
      <c r="E688" s="5" t="n">
        <v>12.1</v>
      </c>
      <c r="F688" s="5" t="n">
        <v>0</v>
      </c>
      <c r="G688" s="5" t="n">
        <v>15.8</v>
      </c>
      <c r="H688" s="5" t="n">
        <v>12.7</v>
      </c>
      <c r="I688" s="5" t="n">
        <v>3</v>
      </c>
      <c r="J688" s="5" t="n">
        <v>264.2</v>
      </c>
      <c r="K688" s="5" t="n">
        <v>11</v>
      </c>
    </row>
    <row r="689" customFormat="false" ht="15" hidden="false" customHeight="false" outlineLevel="0" collapsed="false">
      <c r="A689" s="5" t="n">
        <v>865</v>
      </c>
      <c r="B689" s="5" t="n">
        <v>40</v>
      </c>
      <c r="C689" s="5" t="n">
        <v>25.6</v>
      </c>
      <c r="D689" s="5" t="n">
        <v>20.5</v>
      </c>
      <c r="E689" s="5" t="n">
        <v>10.4</v>
      </c>
      <c r="F689" s="5" t="n">
        <v>0</v>
      </c>
      <c r="G689" s="5" t="n">
        <v>14.1</v>
      </c>
      <c r="H689" s="5" t="n">
        <v>13.3</v>
      </c>
      <c r="I689" s="5" t="n">
        <v>2.6</v>
      </c>
      <c r="J689" s="5" t="n">
        <v>307</v>
      </c>
      <c r="K689" s="5" t="n">
        <v>11</v>
      </c>
    </row>
    <row r="690" customFormat="false" ht="15" hidden="false" customHeight="false" outlineLevel="0" collapsed="false">
      <c r="A690" s="5" t="n">
        <v>870</v>
      </c>
      <c r="B690" s="5" t="n">
        <v>40</v>
      </c>
      <c r="C690" s="5" t="n">
        <v>23.6</v>
      </c>
      <c r="D690" s="5" t="n">
        <v>20.1</v>
      </c>
      <c r="E690" s="5" t="n">
        <v>10.9</v>
      </c>
      <c r="F690" s="5" t="n">
        <v>0</v>
      </c>
      <c r="G690" s="5" t="n">
        <v>14.7</v>
      </c>
      <c r="H690" s="5" t="n">
        <v>12</v>
      </c>
      <c r="I690" s="5" t="n">
        <v>2.6</v>
      </c>
      <c r="J690" s="5" t="n">
        <v>232.6</v>
      </c>
      <c r="K690" s="5" t="n">
        <v>11</v>
      </c>
    </row>
    <row r="691" customFormat="false" ht="15" hidden="false" customHeight="false" outlineLevel="0" collapsed="false">
      <c r="A691" s="5" t="n">
        <v>875</v>
      </c>
      <c r="B691" s="5" t="n">
        <v>40</v>
      </c>
      <c r="C691" s="5" t="n">
        <v>16.2</v>
      </c>
      <c r="D691" s="5" t="n">
        <v>28.5</v>
      </c>
      <c r="E691" s="5" t="n">
        <v>11.5</v>
      </c>
      <c r="F691" s="5" t="n">
        <v>0</v>
      </c>
      <c r="G691" s="5" t="n">
        <v>7.9</v>
      </c>
      <c r="H691" s="5" t="n">
        <v>5.7</v>
      </c>
      <c r="I691" s="5" t="n">
        <v>1.7</v>
      </c>
      <c r="J691" s="5" t="n">
        <v>93.9</v>
      </c>
      <c r="K691" s="5" t="n">
        <v>11</v>
      </c>
    </row>
    <row r="694" customFormat="false" ht="15" hidden="false" customHeight="false" outlineLevel="0" collapsed="false">
      <c r="A694" s="3" t="s">
        <v>42</v>
      </c>
    </row>
    <row r="695" customFormat="false" ht="30" hidden="false" customHeight="true" outlineLevel="0" collapsed="false">
      <c r="A695" s="4" t="s">
        <v>831</v>
      </c>
      <c r="B695" s="4" t="s">
        <v>832</v>
      </c>
      <c r="C695" s="4" t="s">
        <v>833</v>
      </c>
      <c r="D695" s="4" t="s">
        <v>29</v>
      </c>
      <c r="E695" s="4" t="s">
        <v>655</v>
      </c>
      <c r="F695" s="4" t="s">
        <v>534</v>
      </c>
      <c r="G695" s="4" t="s">
        <v>821</v>
      </c>
      <c r="H695" s="4" t="s">
        <v>834</v>
      </c>
      <c r="I695" s="4" t="s">
        <v>835</v>
      </c>
      <c r="J695" s="4" t="s">
        <v>836</v>
      </c>
      <c r="K695" s="4" t="s">
        <v>837</v>
      </c>
    </row>
    <row r="696" customFormat="false" ht="15" hidden="false" customHeight="false" outlineLevel="0" collapsed="false">
      <c r="A696" s="5" t="n">
        <v>0</v>
      </c>
      <c r="B696" s="5" t="n">
        <v>1</v>
      </c>
      <c r="C696" s="5" t="n">
        <v>37.2</v>
      </c>
      <c r="D696" s="5" t="n">
        <v>9.4</v>
      </c>
      <c r="E696" s="5" t="n">
        <v>4.2</v>
      </c>
      <c r="F696" s="5" t="n">
        <v>0</v>
      </c>
      <c r="G696" s="5" t="n">
        <v>10.5</v>
      </c>
      <c r="H696" s="5" t="n">
        <v>11.1</v>
      </c>
      <c r="I696" s="5" t="n">
        <v>2.2</v>
      </c>
      <c r="J696" s="5" t="n">
        <v>329.1</v>
      </c>
      <c r="K696" s="5" t="n">
        <v>11</v>
      </c>
    </row>
    <row r="697" customFormat="false" ht="15" hidden="false" customHeight="false" outlineLevel="0" collapsed="false">
      <c r="A697" s="5" t="n">
        <v>5</v>
      </c>
      <c r="B697" s="5" t="n">
        <v>1</v>
      </c>
      <c r="C697" s="5" t="n">
        <v>48.8</v>
      </c>
      <c r="D697" s="5" t="n">
        <v>9.2</v>
      </c>
      <c r="E697" s="5" t="n">
        <v>4.4</v>
      </c>
      <c r="F697" s="5" t="n">
        <v>0</v>
      </c>
      <c r="G697" s="5" t="n">
        <v>9.9</v>
      </c>
      <c r="H697" s="5" t="n">
        <v>11.7</v>
      </c>
      <c r="I697" s="5" t="n">
        <v>1.9</v>
      </c>
      <c r="J697" s="5" t="n">
        <v>374.7</v>
      </c>
      <c r="K697" s="5" t="n">
        <v>11</v>
      </c>
    </row>
    <row r="698" customFormat="false" ht="15" hidden="false" customHeight="false" outlineLevel="0" collapsed="false">
      <c r="A698" s="5" t="n">
        <v>10</v>
      </c>
      <c r="B698" s="5" t="n">
        <v>0</v>
      </c>
      <c r="C698" s="5" t="n">
        <v>48</v>
      </c>
      <c r="D698" s="5" t="n">
        <v>9</v>
      </c>
      <c r="E698" s="5" t="n">
        <v>4.3</v>
      </c>
      <c r="F698" s="5" t="n">
        <v>0</v>
      </c>
      <c r="G698" s="5" t="n">
        <v>9.7</v>
      </c>
      <c r="H698" s="5" t="n">
        <v>11.9</v>
      </c>
      <c r="I698" s="5" t="n">
        <v>2</v>
      </c>
      <c r="J698" s="5" t="n">
        <v>423.7</v>
      </c>
      <c r="K698" s="5" t="n">
        <v>11</v>
      </c>
    </row>
    <row r="699" customFormat="false" ht="15" hidden="false" customHeight="false" outlineLevel="0" collapsed="false">
      <c r="A699" s="5" t="n">
        <v>15</v>
      </c>
      <c r="B699" s="5" t="n">
        <v>1</v>
      </c>
      <c r="C699" s="5" t="n">
        <v>65.4</v>
      </c>
      <c r="D699" s="5" t="n">
        <v>9.3</v>
      </c>
      <c r="E699" s="5" t="n">
        <v>4.3</v>
      </c>
      <c r="F699" s="5" t="n">
        <v>0</v>
      </c>
      <c r="G699" s="5" t="n">
        <v>5</v>
      </c>
      <c r="H699" s="5" t="n">
        <v>5.8</v>
      </c>
      <c r="I699" s="5" t="n">
        <v>1.8</v>
      </c>
      <c r="J699" s="5" t="n">
        <v>239.1</v>
      </c>
      <c r="K699" s="5" t="n">
        <v>11</v>
      </c>
    </row>
    <row r="700" customFormat="false" ht="15" hidden="false" customHeight="false" outlineLevel="0" collapsed="false">
      <c r="A700" s="5" t="n">
        <v>20</v>
      </c>
      <c r="B700" s="5" t="n">
        <v>1</v>
      </c>
      <c r="C700" s="5" t="n">
        <v>49.2</v>
      </c>
      <c r="D700" s="5" t="n">
        <v>8.7</v>
      </c>
      <c r="E700" s="5" t="n">
        <v>4</v>
      </c>
      <c r="F700" s="5" t="n">
        <v>0</v>
      </c>
      <c r="G700" s="5" t="n">
        <v>9.1</v>
      </c>
      <c r="H700" s="5" t="n">
        <v>10.7</v>
      </c>
      <c r="I700" s="5" t="n">
        <v>1.7</v>
      </c>
      <c r="J700" s="5" t="n">
        <v>305.6</v>
      </c>
      <c r="K700" s="5" t="n">
        <v>11</v>
      </c>
    </row>
    <row r="701" customFormat="false" ht="15" hidden="false" customHeight="false" outlineLevel="0" collapsed="false">
      <c r="A701" s="5" t="n">
        <v>25</v>
      </c>
      <c r="B701" s="5" t="n">
        <v>1</v>
      </c>
      <c r="C701" s="5" t="n">
        <v>50</v>
      </c>
      <c r="D701" s="5" t="n">
        <v>9.2</v>
      </c>
      <c r="E701" s="5" t="n">
        <v>4.1</v>
      </c>
      <c r="F701" s="5" t="n">
        <v>0</v>
      </c>
      <c r="G701" s="5" t="n">
        <v>9.1</v>
      </c>
      <c r="H701" s="5" t="n">
        <v>11.3</v>
      </c>
      <c r="I701" s="5" t="n">
        <v>1.8</v>
      </c>
      <c r="J701" s="5" t="n">
        <v>357.8</v>
      </c>
      <c r="K701" s="5" t="n">
        <v>11</v>
      </c>
    </row>
    <row r="702" customFormat="false" ht="15" hidden="false" customHeight="false" outlineLevel="0" collapsed="false">
      <c r="A702" s="5" t="n">
        <v>30</v>
      </c>
      <c r="B702" s="5" t="n">
        <v>1</v>
      </c>
      <c r="C702" s="5" t="n">
        <v>48.4</v>
      </c>
      <c r="D702" s="5" t="n">
        <v>8.9</v>
      </c>
      <c r="E702" s="5" t="n">
        <v>4.1</v>
      </c>
      <c r="F702" s="5" t="n">
        <v>0</v>
      </c>
      <c r="G702" s="5" t="n">
        <v>8.9</v>
      </c>
      <c r="H702" s="5" t="n">
        <v>10.7</v>
      </c>
      <c r="I702" s="5" t="n">
        <v>1.6</v>
      </c>
      <c r="J702" s="5" t="n">
        <v>410</v>
      </c>
      <c r="K702" s="5" t="n">
        <v>11</v>
      </c>
    </row>
    <row r="703" customFormat="false" ht="15" hidden="false" customHeight="false" outlineLevel="0" collapsed="false">
      <c r="A703" s="5" t="n">
        <v>35</v>
      </c>
      <c r="B703" s="5" t="n">
        <v>1</v>
      </c>
      <c r="C703" s="5" t="n">
        <v>50.2</v>
      </c>
      <c r="D703" s="5" t="n">
        <v>8.6</v>
      </c>
      <c r="E703" s="5" t="n">
        <v>4.4</v>
      </c>
      <c r="F703" s="5" t="n">
        <v>0</v>
      </c>
      <c r="G703" s="5" t="n">
        <v>10.1</v>
      </c>
      <c r="H703" s="5" t="n">
        <v>12.5</v>
      </c>
      <c r="I703" s="5" t="n">
        <v>1.8</v>
      </c>
      <c r="J703" s="5" t="n">
        <v>257.2</v>
      </c>
      <c r="K703" s="5" t="n">
        <v>11</v>
      </c>
    </row>
    <row r="704" customFormat="false" ht="15" hidden="false" customHeight="false" outlineLevel="0" collapsed="false">
      <c r="A704" s="5" t="n">
        <v>40</v>
      </c>
      <c r="B704" s="5" t="n">
        <v>0</v>
      </c>
      <c r="C704" s="5" t="n">
        <v>48.6</v>
      </c>
      <c r="D704" s="5" t="n">
        <v>9.2</v>
      </c>
      <c r="E704" s="5" t="n">
        <v>4.1</v>
      </c>
      <c r="F704" s="5" t="n">
        <v>0</v>
      </c>
      <c r="G704" s="5" t="n">
        <v>8.9</v>
      </c>
      <c r="H704" s="5" t="n">
        <v>10.4</v>
      </c>
      <c r="I704" s="5" t="n">
        <v>1.5</v>
      </c>
      <c r="J704" s="5" t="n">
        <v>255.2</v>
      </c>
      <c r="K704" s="5" t="n">
        <v>11</v>
      </c>
    </row>
    <row r="705" customFormat="false" ht="15" hidden="false" customHeight="false" outlineLevel="0" collapsed="false">
      <c r="A705" s="5" t="n">
        <v>45</v>
      </c>
      <c r="B705" s="5" t="n">
        <v>1</v>
      </c>
      <c r="C705" s="5" t="n">
        <v>61.8</v>
      </c>
      <c r="D705" s="5" t="n">
        <v>9</v>
      </c>
      <c r="E705" s="5" t="n">
        <v>4.1</v>
      </c>
      <c r="F705" s="5" t="n">
        <v>0</v>
      </c>
      <c r="G705" s="5" t="n">
        <v>3.8</v>
      </c>
      <c r="H705" s="5" t="n">
        <v>4.6</v>
      </c>
      <c r="I705" s="5" t="n">
        <v>1.7</v>
      </c>
      <c r="J705" s="5" t="n">
        <v>312.3</v>
      </c>
      <c r="K705" s="5" t="n">
        <v>11</v>
      </c>
    </row>
    <row r="706" customFormat="false" ht="15" hidden="false" customHeight="false" outlineLevel="0" collapsed="false">
      <c r="A706" s="5" t="n">
        <v>50</v>
      </c>
      <c r="B706" s="5" t="n">
        <v>1</v>
      </c>
      <c r="C706" s="5" t="n">
        <v>50.2</v>
      </c>
      <c r="D706" s="5" t="n">
        <v>8.8</v>
      </c>
      <c r="E706" s="5" t="n">
        <v>4</v>
      </c>
      <c r="F706" s="5" t="n">
        <v>0</v>
      </c>
      <c r="G706" s="5" t="n">
        <v>9.1</v>
      </c>
      <c r="H706" s="5" t="n">
        <v>10.9</v>
      </c>
      <c r="I706" s="5" t="n">
        <v>1.7</v>
      </c>
      <c r="J706" s="5" t="n">
        <v>376.8</v>
      </c>
      <c r="K706" s="5" t="n">
        <v>11</v>
      </c>
    </row>
    <row r="707" customFormat="false" ht="15" hidden="false" customHeight="false" outlineLevel="0" collapsed="false">
      <c r="A707" s="5" t="n">
        <v>55</v>
      </c>
      <c r="B707" s="5" t="n">
        <v>1</v>
      </c>
      <c r="C707" s="5" t="n">
        <v>48.6</v>
      </c>
      <c r="D707" s="5" t="n">
        <v>9.3</v>
      </c>
      <c r="E707" s="5" t="n">
        <v>4.4</v>
      </c>
      <c r="F707" s="5" t="n">
        <v>0</v>
      </c>
      <c r="G707" s="5" t="n">
        <v>9.8</v>
      </c>
      <c r="H707" s="5" t="n">
        <v>12</v>
      </c>
      <c r="I707" s="5" t="n">
        <v>1.8</v>
      </c>
      <c r="J707" s="5" t="n">
        <v>378.4</v>
      </c>
      <c r="K707" s="5" t="n">
        <v>11</v>
      </c>
    </row>
    <row r="708" customFormat="false" ht="15" hidden="false" customHeight="false" outlineLevel="0" collapsed="false">
      <c r="A708" s="5" t="n">
        <v>60</v>
      </c>
      <c r="B708" s="5" t="n">
        <v>1</v>
      </c>
      <c r="C708" s="5" t="n">
        <v>48.8</v>
      </c>
      <c r="D708" s="5" t="n">
        <v>8.8</v>
      </c>
      <c r="E708" s="5" t="n">
        <v>4.1</v>
      </c>
      <c r="F708" s="5" t="n">
        <v>0</v>
      </c>
      <c r="G708" s="5" t="n">
        <v>9.4</v>
      </c>
      <c r="H708" s="5" t="n">
        <v>11</v>
      </c>
      <c r="I708" s="5" t="n">
        <v>1.8</v>
      </c>
      <c r="J708" s="5" t="n">
        <v>226</v>
      </c>
      <c r="K708" s="5" t="n">
        <v>11</v>
      </c>
    </row>
    <row r="709" customFormat="false" ht="15" hidden="false" customHeight="false" outlineLevel="0" collapsed="false">
      <c r="A709" s="5" t="n">
        <v>65</v>
      </c>
      <c r="B709" s="5" t="n">
        <v>1</v>
      </c>
      <c r="C709" s="5" t="n">
        <v>50.4</v>
      </c>
      <c r="D709" s="5" t="n">
        <v>9.8</v>
      </c>
      <c r="E709" s="5" t="n">
        <v>4.6</v>
      </c>
      <c r="F709" s="5" t="n">
        <v>0</v>
      </c>
      <c r="G709" s="5" t="n">
        <v>10.3</v>
      </c>
      <c r="H709" s="5" t="n">
        <v>12.6</v>
      </c>
      <c r="I709" s="5" t="n">
        <v>1.9</v>
      </c>
      <c r="J709" s="5" t="n">
        <v>276.5</v>
      </c>
      <c r="K709" s="5" t="n">
        <v>11</v>
      </c>
    </row>
    <row r="710" customFormat="false" ht="15" hidden="false" customHeight="false" outlineLevel="0" collapsed="false">
      <c r="A710" s="5" t="n">
        <v>70</v>
      </c>
      <c r="B710" s="5" t="n">
        <v>1</v>
      </c>
      <c r="C710" s="5" t="n">
        <v>49.4</v>
      </c>
      <c r="D710" s="5" t="n">
        <v>9.7</v>
      </c>
      <c r="E710" s="5" t="n">
        <v>4.3</v>
      </c>
      <c r="F710" s="5" t="n">
        <v>0</v>
      </c>
      <c r="G710" s="5" t="n">
        <v>9.7</v>
      </c>
      <c r="H710" s="5" t="n">
        <v>11.1</v>
      </c>
      <c r="I710" s="5" t="n">
        <v>1.8</v>
      </c>
      <c r="J710" s="5" t="n">
        <v>325.8</v>
      </c>
      <c r="K710" s="5" t="n">
        <v>11</v>
      </c>
    </row>
    <row r="711" customFormat="false" ht="15" hidden="false" customHeight="false" outlineLevel="0" collapsed="false">
      <c r="A711" s="5" t="n">
        <v>75</v>
      </c>
      <c r="B711" s="5" t="n">
        <v>1</v>
      </c>
      <c r="C711" s="5" t="n">
        <v>62.2</v>
      </c>
      <c r="D711" s="5" t="n">
        <v>8.8</v>
      </c>
      <c r="E711" s="5" t="n">
        <v>4.2</v>
      </c>
      <c r="F711" s="5" t="n">
        <v>0</v>
      </c>
      <c r="G711" s="5" t="n">
        <v>4.1</v>
      </c>
      <c r="H711" s="5" t="n">
        <v>5.7</v>
      </c>
      <c r="I711" s="5" t="n">
        <v>1.9</v>
      </c>
      <c r="J711" s="5" t="n">
        <v>389.1</v>
      </c>
      <c r="K711" s="5" t="n">
        <v>11</v>
      </c>
    </row>
    <row r="712" customFormat="false" ht="15" hidden="false" customHeight="false" outlineLevel="0" collapsed="false">
      <c r="A712" s="5" t="n">
        <v>80</v>
      </c>
      <c r="B712" s="5" t="n">
        <v>1</v>
      </c>
      <c r="C712" s="5" t="n">
        <v>50.8</v>
      </c>
      <c r="D712" s="5" t="n">
        <v>9.5</v>
      </c>
      <c r="E712" s="5" t="n">
        <v>4.4</v>
      </c>
      <c r="F712" s="5" t="n">
        <v>0</v>
      </c>
      <c r="G712" s="5" t="n">
        <v>9.7</v>
      </c>
      <c r="H712" s="5" t="n">
        <v>11.7</v>
      </c>
      <c r="I712" s="5" t="n">
        <v>1.9</v>
      </c>
      <c r="J712" s="5" t="n">
        <v>299.1</v>
      </c>
      <c r="K712" s="5" t="n">
        <v>11</v>
      </c>
    </row>
    <row r="713" customFormat="false" ht="15" hidden="false" customHeight="false" outlineLevel="0" collapsed="false">
      <c r="A713" s="5" t="n">
        <v>85</v>
      </c>
      <c r="B713" s="5" t="n">
        <v>1</v>
      </c>
      <c r="C713" s="5" t="n">
        <v>49.4</v>
      </c>
      <c r="D713" s="5" t="n">
        <v>9.4</v>
      </c>
      <c r="E713" s="5" t="n">
        <v>4.5</v>
      </c>
      <c r="F713" s="5" t="n">
        <v>0</v>
      </c>
      <c r="G713" s="5" t="n">
        <v>10.3</v>
      </c>
      <c r="H713" s="5" t="n">
        <v>12.5</v>
      </c>
      <c r="I713" s="5" t="n">
        <v>1.9</v>
      </c>
      <c r="J713" s="5" t="n">
        <v>250.3</v>
      </c>
      <c r="K713" s="5" t="n">
        <v>11</v>
      </c>
    </row>
    <row r="714" customFormat="false" ht="15" hidden="false" customHeight="false" outlineLevel="0" collapsed="false">
      <c r="A714" s="5" t="n">
        <v>90</v>
      </c>
      <c r="B714" s="5" t="n">
        <v>1</v>
      </c>
      <c r="C714" s="5" t="n">
        <v>49.4</v>
      </c>
      <c r="D714" s="5" t="n">
        <v>9.2</v>
      </c>
      <c r="E714" s="5" t="n">
        <v>4.2</v>
      </c>
      <c r="F714" s="5" t="n">
        <v>0</v>
      </c>
      <c r="G714" s="5" t="n">
        <v>9.3</v>
      </c>
      <c r="H714" s="5" t="n">
        <v>10.7</v>
      </c>
      <c r="I714" s="5" t="n">
        <v>1.7</v>
      </c>
      <c r="J714" s="5" t="n">
        <v>304.1</v>
      </c>
      <c r="K714" s="5" t="n">
        <v>11</v>
      </c>
    </row>
    <row r="715" customFormat="false" ht="15" hidden="false" customHeight="false" outlineLevel="0" collapsed="false">
      <c r="A715" s="5" t="n">
        <v>95</v>
      </c>
      <c r="B715" s="5" t="n">
        <v>1</v>
      </c>
      <c r="C715" s="5" t="n">
        <v>47.8</v>
      </c>
      <c r="D715" s="5" t="n">
        <v>9.5</v>
      </c>
      <c r="E715" s="5" t="n">
        <v>4.2</v>
      </c>
      <c r="F715" s="5" t="n">
        <v>0</v>
      </c>
      <c r="G715" s="5" t="n">
        <v>9.1</v>
      </c>
      <c r="H715" s="5" t="n">
        <v>10.7</v>
      </c>
      <c r="I715" s="5" t="n">
        <v>1.7</v>
      </c>
      <c r="J715" s="5" t="n">
        <v>354.9</v>
      </c>
      <c r="K715" s="5" t="n">
        <v>11</v>
      </c>
    </row>
    <row r="716" customFormat="false" ht="15" hidden="false" customHeight="false" outlineLevel="0" collapsed="false">
      <c r="A716" s="5" t="n">
        <v>100</v>
      </c>
      <c r="B716" s="5" t="n">
        <v>1</v>
      </c>
      <c r="C716" s="5" t="n">
        <v>47.6</v>
      </c>
      <c r="D716" s="5" t="n">
        <v>8.9</v>
      </c>
      <c r="E716" s="5" t="n">
        <v>4.1</v>
      </c>
      <c r="F716" s="5" t="n">
        <v>0</v>
      </c>
      <c r="G716" s="5" t="n">
        <v>9.4</v>
      </c>
      <c r="H716" s="5" t="n">
        <v>10.7</v>
      </c>
      <c r="I716" s="5" t="n">
        <v>1.8</v>
      </c>
      <c r="J716" s="5" t="n">
        <v>403.1</v>
      </c>
      <c r="K716" s="5" t="n">
        <v>11</v>
      </c>
    </row>
    <row r="717" customFormat="false" ht="15" hidden="false" customHeight="false" outlineLevel="0" collapsed="false">
      <c r="A717" s="5" t="n">
        <v>105</v>
      </c>
      <c r="B717" s="5" t="n">
        <v>1</v>
      </c>
      <c r="C717" s="5" t="n">
        <v>58</v>
      </c>
      <c r="D717" s="5" t="n">
        <v>9.6</v>
      </c>
      <c r="E717" s="5" t="n">
        <v>4.4</v>
      </c>
      <c r="F717" s="5" t="n">
        <v>0</v>
      </c>
      <c r="G717" s="5" t="n">
        <v>4.1</v>
      </c>
      <c r="H717" s="5" t="n">
        <v>3.1</v>
      </c>
      <c r="I717" s="5" t="n">
        <v>1.8</v>
      </c>
      <c r="J717" s="5" t="n">
        <v>279</v>
      </c>
      <c r="K717" s="5" t="n">
        <v>11</v>
      </c>
    </row>
    <row r="718" customFormat="false" ht="15" hidden="false" customHeight="false" outlineLevel="0" collapsed="false">
      <c r="A718" s="5" t="n">
        <v>110</v>
      </c>
      <c r="B718" s="5" t="n">
        <v>1</v>
      </c>
      <c r="C718" s="5" t="n">
        <v>52.6</v>
      </c>
      <c r="D718" s="5" t="n">
        <v>9.4</v>
      </c>
      <c r="E718" s="5" t="n">
        <v>4.5</v>
      </c>
      <c r="F718" s="5" t="n">
        <v>0</v>
      </c>
      <c r="G718" s="5" t="n">
        <v>9.7</v>
      </c>
      <c r="H718" s="5" t="n">
        <v>11.7</v>
      </c>
      <c r="I718" s="5" t="n">
        <v>1.7</v>
      </c>
      <c r="J718" s="5" t="n">
        <v>270.3</v>
      </c>
      <c r="K718" s="5" t="n">
        <v>11</v>
      </c>
    </row>
    <row r="719" customFormat="false" ht="15" hidden="false" customHeight="false" outlineLevel="0" collapsed="false">
      <c r="A719" s="5" t="n">
        <v>115</v>
      </c>
      <c r="B719" s="5" t="n">
        <v>0</v>
      </c>
      <c r="C719" s="5" t="n">
        <v>47.8</v>
      </c>
      <c r="D719" s="5" t="n">
        <v>9.2</v>
      </c>
      <c r="E719" s="5" t="n">
        <v>4.4</v>
      </c>
      <c r="F719" s="5" t="n">
        <v>0</v>
      </c>
      <c r="G719" s="5" t="n">
        <v>9.3</v>
      </c>
      <c r="H719" s="5" t="n">
        <v>11.7</v>
      </c>
      <c r="I719" s="5" t="n">
        <v>1.7</v>
      </c>
      <c r="J719" s="5" t="n">
        <v>325.5</v>
      </c>
      <c r="K719" s="5" t="n">
        <v>11</v>
      </c>
    </row>
    <row r="720" customFormat="false" ht="15" hidden="false" customHeight="false" outlineLevel="0" collapsed="false">
      <c r="A720" s="5" t="n">
        <v>120</v>
      </c>
      <c r="B720" s="5" t="n">
        <v>1</v>
      </c>
      <c r="C720" s="5" t="n">
        <v>50.4</v>
      </c>
      <c r="D720" s="5" t="n">
        <v>9.1</v>
      </c>
      <c r="E720" s="5" t="n">
        <v>4.4</v>
      </c>
      <c r="F720" s="5" t="n">
        <v>0</v>
      </c>
      <c r="G720" s="5" t="n">
        <v>9.9</v>
      </c>
      <c r="H720" s="5" t="n">
        <v>11.7</v>
      </c>
      <c r="I720" s="5" t="n">
        <v>1.7</v>
      </c>
      <c r="J720" s="5" t="n">
        <v>380.1</v>
      </c>
      <c r="K720" s="5" t="n">
        <v>11</v>
      </c>
    </row>
    <row r="721" customFormat="false" ht="15" hidden="false" customHeight="false" outlineLevel="0" collapsed="false">
      <c r="A721" s="5" t="n">
        <v>125</v>
      </c>
      <c r="B721" s="5" t="n">
        <v>1</v>
      </c>
      <c r="C721" s="5" t="n">
        <v>48</v>
      </c>
      <c r="D721" s="5" t="n">
        <v>9.2</v>
      </c>
      <c r="E721" s="5" t="n">
        <v>4.2</v>
      </c>
      <c r="F721" s="5" t="n">
        <v>0</v>
      </c>
      <c r="G721" s="5" t="n">
        <v>9.4</v>
      </c>
      <c r="H721" s="5" t="n">
        <v>11.2</v>
      </c>
      <c r="I721" s="5" t="n">
        <v>2</v>
      </c>
      <c r="J721" s="5" t="n">
        <v>430.6</v>
      </c>
      <c r="K721" s="5" t="n">
        <v>11</v>
      </c>
    </row>
    <row r="722" customFormat="false" ht="15" hidden="false" customHeight="false" outlineLevel="0" collapsed="false">
      <c r="A722" s="5" t="n">
        <v>130</v>
      </c>
      <c r="B722" s="5" t="n">
        <v>0</v>
      </c>
      <c r="C722" s="5" t="n">
        <v>50</v>
      </c>
      <c r="D722" s="5" t="n">
        <v>8.6</v>
      </c>
      <c r="E722" s="5" t="n">
        <v>3.9</v>
      </c>
      <c r="F722" s="5" t="n">
        <v>0</v>
      </c>
      <c r="G722" s="5" t="n">
        <v>9.1</v>
      </c>
      <c r="H722" s="5" t="n">
        <v>10.5</v>
      </c>
      <c r="I722" s="5" t="n">
        <v>1.9</v>
      </c>
      <c r="J722" s="5" t="n">
        <v>212.7</v>
      </c>
      <c r="K722" s="5" t="n">
        <v>11</v>
      </c>
    </row>
    <row r="723" customFormat="false" ht="15" hidden="false" customHeight="false" outlineLevel="0" collapsed="false">
      <c r="A723" s="5" t="n">
        <v>135</v>
      </c>
      <c r="B723" s="5" t="n">
        <v>1</v>
      </c>
      <c r="C723" s="5" t="n">
        <v>48</v>
      </c>
      <c r="D723" s="5" t="n">
        <v>9.2</v>
      </c>
      <c r="E723" s="5" t="n">
        <v>4.1</v>
      </c>
      <c r="F723" s="5" t="n">
        <v>0</v>
      </c>
      <c r="G723" s="5" t="n">
        <v>2</v>
      </c>
      <c r="H723" s="5" t="n">
        <v>2.9</v>
      </c>
      <c r="I723" s="5" t="n">
        <v>1.7</v>
      </c>
      <c r="J723" s="5" t="n">
        <v>271.6</v>
      </c>
      <c r="K723" s="5" t="n">
        <v>11</v>
      </c>
    </row>
    <row r="724" customFormat="false" ht="15" hidden="false" customHeight="false" outlineLevel="0" collapsed="false">
      <c r="A724" s="5" t="n">
        <v>140</v>
      </c>
      <c r="B724" s="5" t="n">
        <v>1</v>
      </c>
      <c r="C724" s="5" t="n">
        <v>65.8</v>
      </c>
      <c r="D724" s="5" t="n">
        <v>8.6</v>
      </c>
      <c r="E724" s="5" t="n">
        <v>3.9</v>
      </c>
      <c r="F724" s="5" t="n">
        <v>0</v>
      </c>
      <c r="G724" s="5" t="n">
        <v>9.2</v>
      </c>
      <c r="H724" s="5" t="n">
        <v>11</v>
      </c>
      <c r="I724" s="5" t="n">
        <v>1.8</v>
      </c>
      <c r="J724" s="5" t="n">
        <v>331.4</v>
      </c>
      <c r="K724" s="5" t="n">
        <v>11</v>
      </c>
    </row>
    <row r="725" customFormat="false" ht="15" hidden="false" customHeight="false" outlineLevel="0" collapsed="false">
      <c r="A725" s="5" t="n">
        <v>145</v>
      </c>
      <c r="B725" s="5" t="n">
        <v>1</v>
      </c>
      <c r="C725" s="5" t="n">
        <v>49.4</v>
      </c>
      <c r="D725" s="5" t="n">
        <v>9.1</v>
      </c>
      <c r="E725" s="5" t="n">
        <v>4.1</v>
      </c>
      <c r="F725" s="5" t="n">
        <v>0</v>
      </c>
      <c r="G725" s="5" t="n">
        <v>9.1</v>
      </c>
      <c r="H725" s="5" t="n">
        <v>10.7</v>
      </c>
      <c r="I725" s="5" t="n">
        <v>1.7</v>
      </c>
      <c r="J725" s="5" t="n">
        <v>390.5</v>
      </c>
      <c r="K725" s="5" t="n">
        <v>11</v>
      </c>
    </row>
    <row r="726" customFormat="false" ht="15" hidden="false" customHeight="false" outlineLevel="0" collapsed="false">
      <c r="A726" s="5" t="n">
        <v>150</v>
      </c>
      <c r="B726" s="5" t="n">
        <v>1</v>
      </c>
      <c r="C726" s="5" t="n">
        <v>49.6</v>
      </c>
      <c r="D726" s="5" t="n">
        <v>9.2</v>
      </c>
      <c r="E726" s="5" t="n">
        <v>4.1</v>
      </c>
      <c r="F726" s="5" t="n">
        <v>0</v>
      </c>
      <c r="G726" s="5" t="n">
        <v>9.5</v>
      </c>
      <c r="H726" s="5" t="n">
        <v>11.3</v>
      </c>
      <c r="I726" s="5" t="n">
        <v>1.6</v>
      </c>
      <c r="J726" s="5" t="n">
        <v>389.5</v>
      </c>
      <c r="K726" s="5" t="n">
        <v>11</v>
      </c>
    </row>
    <row r="727" customFormat="false" ht="15" hidden="false" customHeight="false" outlineLevel="0" collapsed="false">
      <c r="A727" s="5" t="n">
        <v>155</v>
      </c>
      <c r="B727" s="5" t="n">
        <v>0</v>
      </c>
      <c r="C727" s="5" t="n">
        <v>47.8</v>
      </c>
      <c r="D727" s="5" t="n">
        <v>9.3</v>
      </c>
      <c r="E727" s="5" t="n">
        <v>4.3</v>
      </c>
      <c r="F727" s="5" t="n">
        <v>0</v>
      </c>
      <c r="G727" s="5" t="n">
        <v>9.4</v>
      </c>
      <c r="H727" s="5" t="n">
        <v>11.2</v>
      </c>
      <c r="I727" s="5" t="n">
        <v>1.9</v>
      </c>
      <c r="J727" s="5" t="n">
        <v>227.7</v>
      </c>
      <c r="K727" s="5" t="n">
        <v>11</v>
      </c>
    </row>
    <row r="728" customFormat="false" ht="15" hidden="false" customHeight="false" outlineLevel="0" collapsed="false">
      <c r="A728" s="5" t="n">
        <v>160</v>
      </c>
      <c r="B728" s="5" t="n">
        <v>1</v>
      </c>
      <c r="C728" s="5" t="n">
        <v>48</v>
      </c>
      <c r="D728" s="5" t="n">
        <v>9.3</v>
      </c>
      <c r="E728" s="5" t="n">
        <v>4.5</v>
      </c>
      <c r="F728" s="5" t="n">
        <v>0</v>
      </c>
      <c r="G728" s="5" t="n">
        <v>9.3</v>
      </c>
      <c r="H728" s="5" t="n">
        <v>11.5</v>
      </c>
      <c r="I728" s="5" t="n">
        <v>1.7</v>
      </c>
      <c r="J728" s="5" t="n">
        <v>276.3</v>
      </c>
      <c r="K728" s="5" t="n">
        <v>11</v>
      </c>
    </row>
    <row r="729" customFormat="false" ht="15" hidden="false" customHeight="false" outlineLevel="0" collapsed="false">
      <c r="A729" s="5" t="n">
        <v>165</v>
      </c>
      <c r="B729" s="5" t="n">
        <v>1</v>
      </c>
      <c r="C729" s="5" t="n">
        <v>48</v>
      </c>
      <c r="D729" s="5" t="n">
        <v>8.7</v>
      </c>
      <c r="E729" s="5" t="n">
        <v>4.1</v>
      </c>
      <c r="F729" s="5" t="n">
        <v>0</v>
      </c>
      <c r="G729" s="5" t="n">
        <v>9.1</v>
      </c>
      <c r="H729" s="5" t="n">
        <v>11.1</v>
      </c>
      <c r="I729" s="5" t="n">
        <v>1.7</v>
      </c>
      <c r="J729" s="5" t="n">
        <v>331.1</v>
      </c>
      <c r="K729" s="5" t="n">
        <v>11</v>
      </c>
    </row>
    <row r="730" customFormat="false" ht="15" hidden="false" customHeight="false" outlineLevel="0" collapsed="false">
      <c r="A730" s="5" t="n">
        <v>170</v>
      </c>
      <c r="B730" s="5" t="n">
        <v>1</v>
      </c>
      <c r="C730" s="5" t="n">
        <v>43.4</v>
      </c>
      <c r="D730" s="5" t="n">
        <v>9.5</v>
      </c>
      <c r="E730" s="5" t="n">
        <v>4.4</v>
      </c>
      <c r="F730" s="5" t="n">
        <v>0</v>
      </c>
      <c r="G730" s="5" t="n">
        <v>-2.1</v>
      </c>
      <c r="H730" s="5" t="n">
        <v>-2.1</v>
      </c>
      <c r="I730" s="5" t="n">
        <v>1.6</v>
      </c>
      <c r="J730" s="5" t="n">
        <v>383.5</v>
      </c>
      <c r="K730" s="5" t="n">
        <v>11</v>
      </c>
    </row>
    <row r="733" customFormat="false" ht="15" hidden="false" customHeight="false" outlineLevel="0" collapsed="false">
      <c r="A733" s="3" t="s">
        <v>43</v>
      </c>
    </row>
    <row r="734" customFormat="false" ht="30" hidden="false" customHeight="true" outlineLevel="0" collapsed="false">
      <c r="A734" s="4" t="s">
        <v>831</v>
      </c>
      <c r="B734" s="4" t="s">
        <v>832</v>
      </c>
      <c r="C734" s="4" t="s">
        <v>833</v>
      </c>
      <c r="D734" s="4" t="s">
        <v>29</v>
      </c>
      <c r="E734" s="4" t="s">
        <v>655</v>
      </c>
      <c r="F734" s="4" t="s">
        <v>534</v>
      </c>
      <c r="G734" s="4" t="s">
        <v>821</v>
      </c>
      <c r="H734" s="4" t="s">
        <v>834</v>
      </c>
      <c r="I734" s="4" t="s">
        <v>835</v>
      </c>
      <c r="J734" s="4" t="s">
        <v>836</v>
      </c>
      <c r="K734" s="4" t="s">
        <v>837</v>
      </c>
    </row>
    <row r="735" customFormat="false" ht="15" hidden="false" customHeight="false" outlineLevel="0" collapsed="false">
      <c r="A735" s="5" t="n">
        <v>0</v>
      </c>
      <c r="B735" s="5" t="n">
        <v>1</v>
      </c>
      <c r="C735" s="5" t="n">
        <v>45.8</v>
      </c>
      <c r="D735" s="5" t="n">
        <v>27.7</v>
      </c>
      <c r="E735" s="5" t="n">
        <v>9.8</v>
      </c>
      <c r="F735" s="5" t="n">
        <v>0</v>
      </c>
      <c r="G735" s="5" t="n">
        <v>13.3</v>
      </c>
      <c r="H735" s="5" t="n">
        <v>38.3</v>
      </c>
      <c r="I735" s="5" t="n">
        <v>4.3</v>
      </c>
      <c r="J735" s="5" t="n">
        <v>271.7</v>
      </c>
      <c r="K735" s="5" t="n">
        <v>11</v>
      </c>
    </row>
    <row r="736" customFormat="false" ht="15" hidden="false" customHeight="false" outlineLevel="0" collapsed="false">
      <c r="A736" s="5" t="n">
        <v>5</v>
      </c>
      <c r="B736" s="5" t="n">
        <v>1</v>
      </c>
      <c r="C736" s="5" t="n">
        <v>49.2</v>
      </c>
      <c r="D736" s="5" t="n">
        <v>26</v>
      </c>
      <c r="E736" s="5" t="n">
        <v>8.7</v>
      </c>
      <c r="F736" s="5" t="n">
        <v>0</v>
      </c>
      <c r="G736" s="5" t="n">
        <v>10.3</v>
      </c>
      <c r="H736" s="5" t="n">
        <v>31.5</v>
      </c>
      <c r="I736" s="5" t="n">
        <v>3.2</v>
      </c>
      <c r="J736" s="5" t="n">
        <v>288.4</v>
      </c>
      <c r="K736" s="5" t="n">
        <v>11</v>
      </c>
    </row>
    <row r="737" customFormat="false" ht="15" hidden="false" customHeight="false" outlineLevel="0" collapsed="false">
      <c r="A737" s="5" t="n">
        <v>10</v>
      </c>
      <c r="B737" s="5" t="n">
        <v>1</v>
      </c>
      <c r="C737" s="5" t="n">
        <v>46.8</v>
      </c>
      <c r="D737" s="5" t="n">
        <v>28.8</v>
      </c>
      <c r="E737" s="5" t="n">
        <v>10.2</v>
      </c>
      <c r="F737" s="5" t="n">
        <v>0</v>
      </c>
      <c r="G737" s="5" t="n">
        <v>10.5</v>
      </c>
      <c r="H737" s="5" t="n">
        <v>37.2</v>
      </c>
      <c r="I737" s="5" t="n">
        <v>3.6</v>
      </c>
      <c r="J737" s="5" t="n">
        <v>353</v>
      </c>
      <c r="K737" s="5" t="n">
        <v>11</v>
      </c>
    </row>
    <row r="738" customFormat="false" ht="15" hidden="false" customHeight="false" outlineLevel="0" collapsed="false">
      <c r="A738" s="5" t="n">
        <v>15</v>
      </c>
      <c r="B738" s="5" t="n">
        <v>1</v>
      </c>
      <c r="C738" s="5" t="n">
        <v>60.6</v>
      </c>
      <c r="D738" s="5" t="n">
        <v>27</v>
      </c>
      <c r="E738" s="5" t="n">
        <v>9.8</v>
      </c>
      <c r="F738" s="5" t="n">
        <v>0</v>
      </c>
      <c r="G738" s="5" t="n">
        <v>3.2</v>
      </c>
      <c r="H738" s="5" t="n">
        <v>10.8</v>
      </c>
      <c r="I738" s="5" t="n">
        <v>3.5</v>
      </c>
      <c r="J738" s="5" t="n">
        <v>343.8</v>
      </c>
      <c r="K738" s="5" t="n">
        <v>11</v>
      </c>
    </row>
    <row r="739" customFormat="false" ht="15" hidden="false" customHeight="false" outlineLevel="0" collapsed="false">
      <c r="A739" s="5" t="n">
        <v>20</v>
      </c>
      <c r="B739" s="5" t="n">
        <v>1</v>
      </c>
      <c r="C739" s="5" t="n">
        <v>49.2</v>
      </c>
      <c r="D739" s="5" t="n">
        <v>28.3</v>
      </c>
      <c r="E739" s="5" t="n">
        <v>9</v>
      </c>
      <c r="F739" s="5" t="n">
        <v>0</v>
      </c>
      <c r="G739" s="5" t="n">
        <v>10.3</v>
      </c>
      <c r="H739" s="5" t="n">
        <v>32.6</v>
      </c>
      <c r="I739" s="5" t="n">
        <v>3.3</v>
      </c>
      <c r="J739" s="5" t="n">
        <v>246.1</v>
      </c>
      <c r="K739" s="5" t="n">
        <v>11</v>
      </c>
    </row>
    <row r="740" customFormat="false" ht="15" hidden="false" customHeight="false" outlineLevel="0" collapsed="false">
      <c r="A740" s="5" t="n">
        <v>25</v>
      </c>
      <c r="B740" s="5" t="n">
        <v>1</v>
      </c>
      <c r="C740" s="5" t="n">
        <v>50</v>
      </c>
      <c r="D740" s="5" t="n">
        <v>26.9</v>
      </c>
      <c r="E740" s="5" t="n">
        <v>8.7</v>
      </c>
      <c r="F740" s="5" t="n">
        <v>0</v>
      </c>
      <c r="G740" s="5" t="n">
        <v>10.7</v>
      </c>
      <c r="H740" s="5" t="n">
        <v>33.1</v>
      </c>
      <c r="I740" s="5" t="n">
        <v>3.2</v>
      </c>
      <c r="J740" s="5" t="n">
        <v>314.3</v>
      </c>
      <c r="K740" s="5" t="n">
        <v>11</v>
      </c>
    </row>
    <row r="741" customFormat="false" ht="15" hidden="false" customHeight="false" outlineLevel="0" collapsed="false">
      <c r="A741" s="5" t="n">
        <v>30</v>
      </c>
      <c r="B741" s="5" t="n">
        <v>0</v>
      </c>
      <c r="C741" s="5" t="n">
        <v>47.4</v>
      </c>
      <c r="D741" s="5" t="n">
        <v>27.4</v>
      </c>
      <c r="E741" s="5" t="n">
        <v>9.9</v>
      </c>
      <c r="F741" s="5" t="n">
        <v>0</v>
      </c>
      <c r="G741" s="5" t="n">
        <v>10.1</v>
      </c>
      <c r="H741" s="5" t="n">
        <v>37.2</v>
      </c>
      <c r="I741" s="5" t="n">
        <v>3.5</v>
      </c>
      <c r="J741" s="5" t="n">
        <v>376.1</v>
      </c>
      <c r="K741" s="5" t="n">
        <v>11</v>
      </c>
    </row>
    <row r="742" customFormat="false" ht="15" hidden="false" customHeight="false" outlineLevel="0" collapsed="false">
      <c r="A742" s="5" t="n">
        <v>35</v>
      </c>
      <c r="B742" s="5" t="n">
        <v>1</v>
      </c>
      <c r="C742" s="5" t="n">
        <v>48.6</v>
      </c>
      <c r="D742" s="5" t="n">
        <v>29.6</v>
      </c>
      <c r="E742" s="5" t="n">
        <v>10.1</v>
      </c>
      <c r="F742" s="5" t="n">
        <v>0</v>
      </c>
      <c r="G742" s="5" t="n">
        <v>10.1</v>
      </c>
      <c r="H742" s="5" t="n">
        <v>36.3</v>
      </c>
      <c r="I742" s="5" t="n">
        <v>3.6</v>
      </c>
      <c r="J742" s="5" t="n">
        <v>386.5</v>
      </c>
      <c r="K742" s="5" t="n">
        <v>11</v>
      </c>
    </row>
    <row r="743" customFormat="false" ht="15" hidden="false" customHeight="false" outlineLevel="0" collapsed="false">
      <c r="A743" s="5" t="n">
        <v>40</v>
      </c>
      <c r="B743" s="5" t="n">
        <v>0</v>
      </c>
      <c r="C743" s="5" t="n">
        <v>48.4</v>
      </c>
      <c r="D743" s="5" t="n">
        <v>27.8</v>
      </c>
      <c r="E743" s="5" t="n">
        <v>8.9</v>
      </c>
      <c r="F743" s="5" t="n">
        <v>0</v>
      </c>
      <c r="G743" s="5" t="n">
        <v>10.1</v>
      </c>
      <c r="H743" s="5" t="n">
        <v>33.8</v>
      </c>
      <c r="I743" s="5" t="n">
        <v>3.5</v>
      </c>
      <c r="J743" s="5" t="n">
        <v>238.3</v>
      </c>
      <c r="K743" s="5" t="n">
        <v>11</v>
      </c>
    </row>
    <row r="744" customFormat="false" ht="15" hidden="false" customHeight="false" outlineLevel="0" collapsed="false">
      <c r="A744" s="5" t="n">
        <v>45</v>
      </c>
      <c r="B744" s="5" t="n">
        <v>1</v>
      </c>
      <c r="C744" s="5" t="n">
        <v>54.4</v>
      </c>
      <c r="D744" s="5" t="n">
        <v>27.5</v>
      </c>
      <c r="E744" s="5" t="n">
        <v>9.6</v>
      </c>
      <c r="F744" s="5" t="n">
        <v>0</v>
      </c>
      <c r="G744" s="5" t="n">
        <v>3.9</v>
      </c>
      <c r="H744" s="5" t="n">
        <v>16.7</v>
      </c>
      <c r="I744" s="5" t="n">
        <v>3.4</v>
      </c>
      <c r="J744" s="5" t="n">
        <v>315.1</v>
      </c>
      <c r="K744" s="5" t="n">
        <v>11</v>
      </c>
    </row>
    <row r="745" customFormat="false" ht="15" hidden="false" customHeight="false" outlineLevel="0" collapsed="false">
      <c r="A745" s="5" t="n">
        <v>50</v>
      </c>
      <c r="B745" s="5" t="n">
        <v>1</v>
      </c>
      <c r="C745" s="5" t="n">
        <v>57.6</v>
      </c>
      <c r="D745" s="5" t="n">
        <v>27.5</v>
      </c>
      <c r="E745" s="5" t="n">
        <v>9.3</v>
      </c>
      <c r="F745" s="5" t="n">
        <v>0</v>
      </c>
      <c r="G745" s="5" t="n">
        <v>10.1</v>
      </c>
      <c r="H745" s="5" t="n">
        <v>35.7</v>
      </c>
      <c r="I745" s="5" t="n">
        <v>3.4</v>
      </c>
      <c r="J745" s="5" t="n">
        <v>386.1</v>
      </c>
      <c r="K745" s="5" t="n">
        <v>11</v>
      </c>
    </row>
    <row r="746" customFormat="false" ht="15" hidden="false" customHeight="false" outlineLevel="0" collapsed="false">
      <c r="A746" s="5" t="n">
        <v>55</v>
      </c>
      <c r="B746" s="5" t="n">
        <v>0</v>
      </c>
      <c r="C746" s="5" t="n">
        <v>46.8</v>
      </c>
      <c r="D746" s="5" t="n">
        <v>26.9</v>
      </c>
      <c r="E746" s="5" t="n">
        <v>9</v>
      </c>
      <c r="F746" s="5" t="n">
        <v>0</v>
      </c>
      <c r="G746" s="5" t="n">
        <v>9.7</v>
      </c>
      <c r="H746" s="5" t="n">
        <v>32.7</v>
      </c>
      <c r="I746" s="5" t="n">
        <v>3.3</v>
      </c>
      <c r="J746" s="5" t="n">
        <v>342.7</v>
      </c>
      <c r="K746" s="5" t="n">
        <v>11</v>
      </c>
    </row>
    <row r="747" customFormat="false" ht="15" hidden="false" customHeight="false" outlineLevel="0" collapsed="false">
      <c r="A747" s="5" t="n">
        <v>60</v>
      </c>
      <c r="B747" s="5" t="n">
        <v>1</v>
      </c>
      <c r="C747" s="5" t="n">
        <v>48.4</v>
      </c>
      <c r="D747" s="5" t="n">
        <v>28.3</v>
      </c>
      <c r="E747" s="5" t="n">
        <v>9.2</v>
      </c>
      <c r="F747" s="5" t="n">
        <v>0</v>
      </c>
      <c r="G747" s="5" t="n">
        <v>10.1</v>
      </c>
      <c r="H747" s="5" t="n">
        <v>32.3</v>
      </c>
      <c r="I747" s="5" t="n">
        <v>3.1</v>
      </c>
      <c r="J747" s="5" t="n">
        <v>241.8</v>
      </c>
      <c r="K747" s="5" t="n">
        <v>11</v>
      </c>
    </row>
    <row r="748" customFormat="false" ht="15" hidden="false" customHeight="false" outlineLevel="0" collapsed="false">
      <c r="A748" s="5" t="n">
        <v>65</v>
      </c>
      <c r="B748" s="5" t="n">
        <v>0</v>
      </c>
      <c r="C748" s="5" t="n">
        <v>48.8</v>
      </c>
      <c r="D748" s="5" t="n">
        <v>27.2</v>
      </c>
      <c r="E748" s="5" t="n">
        <v>9.3</v>
      </c>
      <c r="F748" s="5" t="n">
        <v>0</v>
      </c>
      <c r="G748" s="5" t="n">
        <v>10.5</v>
      </c>
      <c r="H748" s="5" t="n">
        <v>35.8</v>
      </c>
      <c r="I748" s="5" t="n">
        <v>3.6</v>
      </c>
      <c r="J748" s="5" t="n">
        <v>308.2</v>
      </c>
      <c r="K748" s="5" t="n">
        <v>11</v>
      </c>
    </row>
    <row r="749" customFormat="false" ht="15" hidden="false" customHeight="false" outlineLevel="0" collapsed="false">
      <c r="A749" s="5" t="n">
        <v>70</v>
      </c>
      <c r="B749" s="5" t="n">
        <v>0</v>
      </c>
      <c r="C749" s="5" t="n">
        <v>48.6</v>
      </c>
      <c r="D749" s="5" t="n">
        <v>27.7</v>
      </c>
      <c r="E749" s="5" t="n">
        <v>10</v>
      </c>
      <c r="F749" s="5" t="n">
        <v>0</v>
      </c>
      <c r="G749" s="5" t="n">
        <v>11.1</v>
      </c>
      <c r="H749" s="5" t="n">
        <v>37</v>
      </c>
      <c r="I749" s="5" t="n">
        <v>3.8</v>
      </c>
      <c r="J749" s="5" t="n">
        <v>378.4</v>
      </c>
      <c r="K749" s="5" t="n">
        <v>11</v>
      </c>
    </row>
    <row r="750" customFormat="false" ht="15" hidden="false" customHeight="false" outlineLevel="0" collapsed="false">
      <c r="A750" s="5" t="n">
        <v>75</v>
      </c>
      <c r="B750" s="5" t="n">
        <v>1</v>
      </c>
      <c r="C750" s="5" t="n">
        <v>51</v>
      </c>
      <c r="D750" s="5" t="n">
        <v>27</v>
      </c>
      <c r="E750" s="5" t="n">
        <v>9.6</v>
      </c>
      <c r="F750" s="5" t="n">
        <v>0</v>
      </c>
      <c r="G750" s="5" t="n">
        <v>11.5</v>
      </c>
      <c r="H750" s="5" t="n">
        <v>36</v>
      </c>
      <c r="I750" s="5" t="n">
        <v>3.6</v>
      </c>
      <c r="J750" s="5" t="n">
        <v>343</v>
      </c>
      <c r="K750" s="5" t="n">
        <v>11</v>
      </c>
    </row>
    <row r="751" customFormat="false" ht="15" hidden="false" customHeight="false" outlineLevel="0" collapsed="false">
      <c r="A751" s="5" t="n">
        <v>80</v>
      </c>
      <c r="B751" s="5" t="n">
        <v>1</v>
      </c>
      <c r="C751" s="5" t="n">
        <v>63.8</v>
      </c>
      <c r="D751" s="5" t="n">
        <v>27.2</v>
      </c>
      <c r="E751" s="5" t="n">
        <v>9.2</v>
      </c>
      <c r="F751" s="5" t="n">
        <v>0</v>
      </c>
      <c r="G751" s="5" t="n">
        <v>4.1</v>
      </c>
      <c r="H751" s="5" t="n">
        <v>12.3</v>
      </c>
      <c r="I751" s="5" t="n">
        <v>3.9</v>
      </c>
      <c r="J751" s="5" t="n">
        <v>263.2</v>
      </c>
      <c r="K751" s="5" t="n">
        <v>11</v>
      </c>
    </row>
    <row r="752" customFormat="false" ht="15" hidden="false" customHeight="false" outlineLevel="0" collapsed="false">
      <c r="A752" s="5" t="n">
        <v>85</v>
      </c>
      <c r="B752" s="5" t="n">
        <v>0</v>
      </c>
      <c r="C752" s="5" t="n">
        <v>47.6</v>
      </c>
      <c r="D752" s="5" t="n">
        <v>28.6</v>
      </c>
      <c r="E752" s="5" t="n">
        <v>9.1</v>
      </c>
      <c r="F752" s="5" t="n">
        <v>0</v>
      </c>
      <c r="G752" s="5" t="n">
        <v>10.1</v>
      </c>
      <c r="H752" s="5" t="n">
        <v>31.9</v>
      </c>
      <c r="I752" s="5" t="n">
        <v>3.2</v>
      </c>
      <c r="J752" s="5" t="n">
        <v>342.2</v>
      </c>
      <c r="K752" s="5" t="n">
        <v>11</v>
      </c>
    </row>
    <row r="753" customFormat="false" ht="15" hidden="false" customHeight="false" outlineLevel="0" collapsed="false">
      <c r="A753" s="5" t="n">
        <v>90</v>
      </c>
      <c r="B753" s="5" t="n">
        <v>0</v>
      </c>
      <c r="C753" s="5" t="n">
        <v>47.6</v>
      </c>
      <c r="D753" s="5" t="n">
        <v>27.7</v>
      </c>
      <c r="E753" s="5" t="n">
        <v>9.1</v>
      </c>
      <c r="F753" s="5" t="n">
        <v>0</v>
      </c>
      <c r="G753" s="5" t="n">
        <v>9.9</v>
      </c>
      <c r="H753" s="5" t="n">
        <v>32.8</v>
      </c>
      <c r="I753" s="5" t="n">
        <v>3.1</v>
      </c>
      <c r="J753" s="5" t="n">
        <v>406.6</v>
      </c>
      <c r="K753" s="5" t="n">
        <v>11</v>
      </c>
    </row>
    <row r="754" customFormat="false" ht="15" hidden="false" customHeight="false" outlineLevel="0" collapsed="false">
      <c r="A754" s="5" t="n">
        <v>95</v>
      </c>
      <c r="B754" s="5" t="n">
        <v>1</v>
      </c>
      <c r="C754" s="5" t="n">
        <v>51</v>
      </c>
      <c r="D754" s="5" t="n">
        <v>27.5</v>
      </c>
      <c r="E754" s="5" t="n">
        <v>9</v>
      </c>
      <c r="F754" s="5" t="n">
        <v>0</v>
      </c>
      <c r="G754" s="5" t="n">
        <v>11.5</v>
      </c>
      <c r="H754" s="5" t="n">
        <v>35.2</v>
      </c>
      <c r="I754" s="5" t="n">
        <v>3.4</v>
      </c>
      <c r="J754" s="5" t="n">
        <v>259.6</v>
      </c>
      <c r="K754" s="5" t="n">
        <v>11</v>
      </c>
    </row>
    <row r="755" customFormat="false" ht="15" hidden="false" customHeight="false" outlineLevel="0" collapsed="false">
      <c r="A755" s="5" t="n">
        <v>100</v>
      </c>
      <c r="B755" s="5" t="n">
        <v>0</v>
      </c>
      <c r="C755" s="5" t="n">
        <v>49.6</v>
      </c>
      <c r="D755" s="5" t="n">
        <v>27</v>
      </c>
      <c r="E755" s="5" t="n">
        <v>8.6</v>
      </c>
      <c r="F755" s="5" t="n">
        <v>0</v>
      </c>
      <c r="G755" s="5" t="n">
        <v>10.7</v>
      </c>
      <c r="H755" s="5" t="n">
        <v>31.7</v>
      </c>
      <c r="I755" s="5" t="n">
        <v>3.2</v>
      </c>
      <c r="J755" s="5" t="n">
        <v>278.6</v>
      </c>
      <c r="K755" s="5" t="n">
        <v>11</v>
      </c>
    </row>
    <row r="756" customFormat="false" ht="15" hidden="false" customHeight="false" outlineLevel="0" collapsed="false">
      <c r="A756" s="5" t="n">
        <v>105</v>
      </c>
      <c r="B756" s="5" t="n">
        <v>1</v>
      </c>
      <c r="C756" s="5" t="n">
        <v>48.6</v>
      </c>
      <c r="D756" s="5" t="n">
        <v>27.7</v>
      </c>
      <c r="E756" s="5" t="n">
        <v>9.7</v>
      </c>
      <c r="F756" s="5" t="n">
        <v>0</v>
      </c>
      <c r="G756" s="5" t="n">
        <v>10.3</v>
      </c>
      <c r="H756" s="5" t="n">
        <v>36.8</v>
      </c>
      <c r="I756" s="5" t="n">
        <v>3.7</v>
      </c>
      <c r="J756" s="5" t="n">
        <v>344.2</v>
      </c>
      <c r="K756" s="5" t="n">
        <v>11</v>
      </c>
    </row>
    <row r="757" customFormat="false" ht="15" hidden="false" customHeight="false" outlineLevel="0" collapsed="false">
      <c r="A757" s="5" t="n">
        <v>110</v>
      </c>
      <c r="B757" s="5" t="n">
        <v>0</v>
      </c>
      <c r="C757" s="5" t="n">
        <v>61.6</v>
      </c>
      <c r="D757" s="5" t="n">
        <v>28.4</v>
      </c>
      <c r="E757" s="5" t="n">
        <v>9.8</v>
      </c>
      <c r="F757" s="5" t="n">
        <v>0</v>
      </c>
      <c r="G757" s="5" t="n">
        <v>3</v>
      </c>
      <c r="H757" s="5" t="n">
        <v>7.8</v>
      </c>
      <c r="I757" s="5" t="n">
        <v>3.5</v>
      </c>
      <c r="J757" s="5" t="n">
        <v>419.8</v>
      </c>
      <c r="K757" s="5" t="n">
        <v>11</v>
      </c>
    </row>
    <row r="758" customFormat="false" ht="15" hidden="false" customHeight="false" outlineLevel="0" collapsed="false">
      <c r="A758" s="5" t="n">
        <v>115</v>
      </c>
      <c r="B758" s="5" t="n">
        <v>1</v>
      </c>
      <c r="C758" s="5" t="n">
        <v>50.4</v>
      </c>
      <c r="D758" s="5" t="n">
        <v>28.7</v>
      </c>
      <c r="E758" s="5" t="n">
        <v>9.1</v>
      </c>
      <c r="F758" s="5" t="n">
        <v>0</v>
      </c>
      <c r="G758" s="5" t="n">
        <v>10.9</v>
      </c>
      <c r="H758" s="5" t="n">
        <v>34</v>
      </c>
      <c r="I758" s="5" t="n">
        <v>3.2</v>
      </c>
      <c r="J758" s="5" t="n">
        <v>234.8</v>
      </c>
      <c r="K758" s="5" t="n">
        <v>11</v>
      </c>
    </row>
    <row r="759" customFormat="false" ht="15" hidden="false" customHeight="false" outlineLevel="0" collapsed="false">
      <c r="A759" s="5" t="n">
        <v>120</v>
      </c>
      <c r="B759" s="5" t="n">
        <v>1</v>
      </c>
      <c r="C759" s="5" t="n">
        <v>49</v>
      </c>
      <c r="D759" s="5" t="n">
        <v>27.6</v>
      </c>
      <c r="E759" s="5" t="n">
        <v>9.5</v>
      </c>
      <c r="F759" s="5" t="n">
        <v>0</v>
      </c>
      <c r="G759" s="5" t="n">
        <v>10.9</v>
      </c>
      <c r="H759" s="5" t="n">
        <v>36.1</v>
      </c>
      <c r="I759" s="5" t="n">
        <v>3.5</v>
      </c>
      <c r="J759" s="5" t="n">
        <v>312.6</v>
      </c>
      <c r="K759" s="5" t="n">
        <v>11</v>
      </c>
    </row>
    <row r="760" customFormat="false" ht="15" hidden="false" customHeight="false" outlineLevel="0" collapsed="false">
      <c r="A760" s="5" t="n">
        <v>125</v>
      </c>
      <c r="B760" s="5" t="n">
        <v>0</v>
      </c>
      <c r="C760" s="5" t="n">
        <v>48</v>
      </c>
      <c r="D760" s="5" t="n">
        <v>27.1</v>
      </c>
      <c r="E760" s="5" t="n">
        <v>9.1</v>
      </c>
      <c r="F760" s="5" t="n">
        <v>0</v>
      </c>
      <c r="G760" s="5" t="n">
        <v>9.7</v>
      </c>
      <c r="H760" s="5" t="n">
        <v>32.6</v>
      </c>
      <c r="I760" s="5" t="n">
        <v>3.4</v>
      </c>
      <c r="J760" s="5" t="n">
        <v>379.2</v>
      </c>
      <c r="K760" s="5" t="n">
        <v>11</v>
      </c>
    </row>
    <row r="761" customFormat="false" ht="15" hidden="false" customHeight="false" outlineLevel="0" collapsed="false">
      <c r="A761" s="5" t="n">
        <v>130</v>
      </c>
      <c r="B761" s="5" t="n">
        <v>0</v>
      </c>
      <c r="C761" s="5" t="n">
        <v>49.4</v>
      </c>
      <c r="D761" s="5" t="n">
        <v>27.4</v>
      </c>
      <c r="E761" s="5" t="n">
        <v>9.4</v>
      </c>
      <c r="F761" s="5" t="n">
        <v>0</v>
      </c>
      <c r="G761" s="5" t="n">
        <v>10.5</v>
      </c>
      <c r="H761" s="5" t="n">
        <v>35.3</v>
      </c>
      <c r="I761" s="5" t="n">
        <v>3.7</v>
      </c>
      <c r="J761" s="5" t="n">
        <v>338.6</v>
      </c>
      <c r="K761" s="5" t="n">
        <v>11</v>
      </c>
    </row>
    <row r="762" customFormat="false" ht="15" hidden="false" customHeight="false" outlineLevel="0" collapsed="false">
      <c r="A762" s="5" t="n">
        <v>135</v>
      </c>
      <c r="B762" s="5" t="n">
        <v>1</v>
      </c>
      <c r="C762" s="5" t="n">
        <v>50.4</v>
      </c>
      <c r="D762" s="5" t="n">
        <v>24.3</v>
      </c>
      <c r="E762" s="5" t="n">
        <v>8.7</v>
      </c>
      <c r="F762" s="5" t="n">
        <v>0</v>
      </c>
      <c r="G762" s="5" t="n">
        <v>10.1</v>
      </c>
      <c r="H762" s="5" t="n">
        <v>33.9</v>
      </c>
      <c r="I762" s="5" t="n">
        <v>3.2</v>
      </c>
      <c r="J762" s="5" t="n">
        <v>243.8</v>
      </c>
      <c r="K762" s="5" t="n">
        <v>11</v>
      </c>
    </row>
    <row r="763" customFormat="false" ht="15" hidden="false" customHeight="false" outlineLevel="0" collapsed="false">
      <c r="A763" s="5" t="n">
        <v>140</v>
      </c>
      <c r="B763" s="5" t="n">
        <v>1</v>
      </c>
      <c r="C763" s="5" t="n">
        <v>64.2</v>
      </c>
      <c r="D763" s="5" t="n">
        <v>28.1</v>
      </c>
      <c r="E763" s="5" t="n">
        <v>9.9</v>
      </c>
      <c r="F763" s="5" t="n">
        <v>0</v>
      </c>
      <c r="G763" s="5" t="n">
        <v>5</v>
      </c>
      <c r="H763" s="5" t="n">
        <v>14.9</v>
      </c>
      <c r="I763" s="5" t="n">
        <v>3.5</v>
      </c>
      <c r="J763" s="5" t="n">
        <v>319.7</v>
      </c>
      <c r="K763" s="5" t="n">
        <v>11</v>
      </c>
    </row>
    <row r="764" customFormat="false" ht="15" hidden="false" customHeight="false" outlineLevel="0" collapsed="false">
      <c r="A764" s="5" t="n">
        <v>145</v>
      </c>
      <c r="B764" s="5" t="n">
        <v>1</v>
      </c>
      <c r="C764" s="5" t="n">
        <v>49</v>
      </c>
      <c r="D764" s="5" t="n">
        <v>26.3</v>
      </c>
      <c r="E764" s="5" t="n">
        <v>9.6</v>
      </c>
      <c r="F764" s="5" t="n">
        <v>0</v>
      </c>
      <c r="G764" s="5" t="n">
        <v>10.5</v>
      </c>
      <c r="H764" s="5" t="n">
        <v>36.5</v>
      </c>
      <c r="I764" s="5" t="n">
        <v>3.5</v>
      </c>
      <c r="J764" s="5" t="n">
        <v>395.6</v>
      </c>
      <c r="K764" s="5" t="n">
        <v>11</v>
      </c>
    </row>
    <row r="765" customFormat="false" ht="15" hidden="false" customHeight="false" outlineLevel="0" collapsed="false">
      <c r="A765" s="5" t="n">
        <v>150</v>
      </c>
      <c r="B765" s="5" t="n">
        <v>0</v>
      </c>
      <c r="C765" s="5" t="n">
        <v>49.6</v>
      </c>
      <c r="D765" s="5" t="n">
        <v>28.1</v>
      </c>
      <c r="E765" s="5" t="n">
        <v>9.8</v>
      </c>
      <c r="F765" s="5" t="n">
        <v>0</v>
      </c>
      <c r="G765" s="5" t="n">
        <v>12.5</v>
      </c>
      <c r="H765" s="5" t="n">
        <v>35.8</v>
      </c>
      <c r="I765" s="5" t="n">
        <v>3.8</v>
      </c>
      <c r="J765" s="5" t="n">
        <v>306.4</v>
      </c>
      <c r="K765" s="5" t="n">
        <v>11</v>
      </c>
    </row>
    <row r="766" customFormat="false" ht="15" hidden="false" customHeight="false" outlineLevel="0" collapsed="false">
      <c r="A766" s="5" t="n">
        <v>155</v>
      </c>
      <c r="B766" s="5" t="n">
        <v>1</v>
      </c>
      <c r="C766" s="5" t="n">
        <v>48.6</v>
      </c>
      <c r="D766" s="5" t="n">
        <v>29.2</v>
      </c>
      <c r="E766" s="5" t="n">
        <v>11.2</v>
      </c>
      <c r="F766" s="5" t="n">
        <v>0</v>
      </c>
      <c r="G766" s="5" t="n">
        <v>11.1</v>
      </c>
      <c r="H766" s="5" t="n">
        <v>41.8</v>
      </c>
      <c r="I766" s="5" t="n">
        <v>3.9</v>
      </c>
      <c r="J766" s="5" t="n">
        <v>274.8</v>
      </c>
      <c r="K766" s="5" t="n">
        <v>11</v>
      </c>
    </row>
    <row r="767" customFormat="false" ht="15" hidden="false" customHeight="false" outlineLevel="0" collapsed="false">
      <c r="A767" s="5" t="n">
        <v>160</v>
      </c>
      <c r="B767" s="5" t="n">
        <v>1</v>
      </c>
      <c r="C767" s="5" t="n">
        <v>48.6</v>
      </c>
      <c r="D767" s="5" t="n">
        <v>29.7</v>
      </c>
      <c r="E767" s="5" t="n">
        <v>9.6</v>
      </c>
      <c r="F767" s="5" t="n">
        <v>0</v>
      </c>
      <c r="G767" s="5" t="n">
        <v>11.5</v>
      </c>
      <c r="H767" s="5" t="n">
        <v>35.9</v>
      </c>
      <c r="I767" s="5" t="n">
        <v>3.7</v>
      </c>
      <c r="J767" s="5" t="n">
        <v>340</v>
      </c>
      <c r="K767" s="5" t="n">
        <v>11</v>
      </c>
    </row>
    <row r="768" customFormat="false" ht="15" hidden="false" customHeight="false" outlineLevel="0" collapsed="false">
      <c r="A768" s="5" t="n">
        <v>165</v>
      </c>
      <c r="B768" s="5" t="n">
        <v>1</v>
      </c>
      <c r="C768" s="5" t="n">
        <v>50.4</v>
      </c>
      <c r="D768" s="5" t="n">
        <v>29.5</v>
      </c>
      <c r="E768" s="5" t="n">
        <v>10</v>
      </c>
      <c r="F768" s="5" t="n">
        <v>0</v>
      </c>
      <c r="G768" s="5" t="n">
        <v>11.9</v>
      </c>
      <c r="H768" s="5" t="n">
        <v>37.4</v>
      </c>
      <c r="I768" s="5" t="n">
        <v>3.7</v>
      </c>
      <c r="J768" s="5" t="n">
        <v>409.8</v>
      </c>
      <c r="K768" s="5" t="n">
        <v>11</v>
      </c>
    </row>
    <row r="769" customFormat="false" ht="15" hidden="false" customHeight="false" outlineLevel="0" collapsed="false">
      <c r="A769" s="5" t="n">
        <v>170</v>
      </c>
      <c r="B769" s="5" t="n">
        <v>0</v>
      </c>
      <c r="C769" s="5" t="n">
        <v>34</v>
      </c>
      <c r="D769" s="5" t="n">
        <v>24.8</v>
      </c>
      <c r="E769" s="5" t="n">
        <v>8.8</v>
      </c>
      <c r="F769" s="5" t="n">
        <v>0</v>
      </c>
      <c r="G769" s="5" t="n">
        <v>7.9</v>
      </c>
      <c r="H769" s="5" t="n">
        <v>22</v>
      </c>
      <c r="I769" s="5" t="n">
        <v>2.3</v>
      </c>
      <c r="J769" s="5" t="n">
        <v>263.2</v>
      </c>
      <c r="K769" s="5" t="n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1"/>
    <col collapsed="false" customWidth="true" hidden="false" outlineLevel="0" max="5" min="4" style="0" width="9"/>
    <col collapsed="false" customWidth="true" hidden="false" outlineLevel="0" max="10" min="6" style="0" width="11"/>
  </cols>
  <sheetData>
    <row r="1" customFormat="false" ht="17.35" hidden="false" customHeight="false" outlineLevel="0" collapsed="false">
      <c r="A1" s="1" t="s">
        <v>838</v>
      </c>
    </row>
    <row r="2" customFormat="false" ht="15" hidden="false" customHeight="false" outlineLevel="0" collapsed="false">
      <c r="A2" s="2" t="s">
        <v>839</v>
      </c>
    </row>
    <row r="4" customFormat="false" ht="30" hidden="false" customHeight="true" outlineLevel="0" collapsed="false">
      <c r="A4" s="4" t="s">
        <v>509</v>
      </c>
      <c r="B4" s="4" t="s">
        <v>840</v>
      </c>
      <c r="C4" s="4" t="s">
        <v>841</v>
      </c>
      <c r="D4" s="4" t="s">
        <v>842</v>
      </c>
      <c r="E4" s="4" t="s">
        <v>843</v>
      </c>
      <c r="F4" s="4" t="s">
        <v>844</v>
      </c>
      <c r="G4" s="4" t="s">
        <v>845</v>
      </c>
      <c r="H4" s="4" t="s">
        <v>846</v>
      </c>
      <c r="I4" s="4" t="s">
        <v>847</v>
      </c>
      <c r="J4" s="4" t="s">
        <v>848</v>
      </c>
    </row>
    <row r="5" customFormat="false" ht="15" hidden="false" customHeight="false" outlineLevel="0" collapsed="false">
      <c r="A5" s="5" t="s">
        <v>516</v>
      </c>
      <c r="B5" s="30" t="n">
        <v>388</v>
      </c>
      <c r="C5" s="30" t="n">
        <v>20388</v>
      </c>
      <c r="D5" s="5" t="n">
        <v>28</v>
      </c>
      <c r="E5" s="5" t="n">
        <v>56</v>
      </c>
      <c r="F5" s="25" t="n">
        <v>9.6</v>
      </c>
      <c r="G5" s="25" t="n">
        <v>16.7</v>
      </c>
      <c r="H5" s="25" t="n">
        <v>10.5</v>
      </c>
      <c r="I5" s="25" t="n">
        <v>17.9</v>
      </c>
      <c r="J5" s="26" t="n">
        <f aca="false">IF(H5=0,0,I5/H5)</f>
        <v>1.7047619047619</v>
      </c>
    </row>
    <row r="6" customFormat="false" ht="15" hidden="false" customHeight="false" outlineLevel="0" collapsed="false">
      <c r="A6" s="5" t="s">
        <v>517</v>
      </c>
      <c r="B6" s="30" t="n">
        <v>388</v>
      </c>
      <c r="C6" s="30" t="n">
        <v>20388</v>
      </c>
      <c r="D6" s="5" t="n">
        <v>116</v>
      </c>
      <c r="E6" s="5" t="n">
        <v>389</v>
      </c>
      <c r="F6" s="25" t="n">
        <v>35.8</v>
      </c>
      <c r="G6" s="25" t="n">
        <v>89.6</v>
      </c>
      <c r="H6" s="25" t="n">
        <v>44.2</v>
      </c>
      <c r="I6" s="25" t="n">
        <v>102.8</v>
      </c>
      <c r="J6" s="26" t="n">
        <f aca="false">IF(H6=0,0,I6/H6)</f>
        <v>2.32579185520362</v>
      </c>
    </row>
    <row r="7" customFormat="false" ht="15" hidden="false" customHeight="false" outlineLevel="0" collapsed="false">
      <c r="A7" s="5" t="s">
        <v>518</v>
      </c>
      <c r="B7" s="30" t="n">
        <v>388</v>
      </c>
      <c r="C7" s="30" t="n">
        <v>20388</v>
      </c>
      <c r="D7" s="5" t="n">
        <v>9</v>
      </c>
      <c r="E7" s="5" t="n">
        <v>57</v>
      </c>
      <c r="F7" s="25" t="n">
        <v>3.4</v>
      </c>
      <c r="G7" s="25" t="n">
        <v>25.6</v>
      </c>
      <c r="H7" s="25" t="n">
        <v>3.9</v>
      </c>
      <c r="I7" s="25" t="n">
        <v>26.9</v>
      </c>
      <c r="J7" s="26" t="n">
        <f aca="false">IF(H7=0,0,I7/H7)</f>
        <v>6.8974358974359</v>
      </c>
    </row>
    <row r="8" customFormat="false" ht="15" hidden="false" customHeight="false" outlineLevel="0" collapsed="false">
      <c r="A8" s="5" t="s">
        <v>519</v>
      </c>
      <c r="B8" s="30" t="n">
        <v>0</v>
      </c>
      <c r="C8" s="30" t="n">
        <v>111</v>
      </c>
      <c r="D8" s="5" t="n">
        <v>8</v>
      </c>
      <c r="E8" s="5" t="n">
        <v>56</v>
      </c>
      <c r="F8" s="25" t="n">
        <v>2.5</v>
      </c>
      <c r="G8" s="25" t="n">
        <v>25.7</v>
      </c>
      <c r="H8" s="25" t="n">
        <v>3.1</v>
      </c>
      <c r="I8" s="25" t="n">
        <v>32.8</v>
      </c>
      <c r="J8" s="26" t="n">
        <f aca="false">IF(H8=0,0,I8/H8)</f>
        <v>10.5806451612903</v>
      </c>
    </row>
    <row r="9" customFormat="false" ht="15" hidden="false" customHeight="false" outlineLevel="0" collapsed="false">
      <c r="A9" s="5" t="s">
        <v>520</v>
      </c>
      <c r="B9" s="30" t="n">
        <v>134</v>
      </c>
      <c r="C9" s="30" t="n">
        <v>134</v>
      </c>
      <c r="D9" s="5" t="n">
        <v>28</v>
      </c>
      <c r="E9" s="5" t="n">
        <v>28</v>
      </c>
      <c r="F9" s="25" t="n">
        <v>9.5</v>
      </c>
      <c r="G9" s="25" t="n">
        <v>9.9</v>
      </c>
      <c r="H9" s="25" t="n">
        <v>10.4</v>
      </c>
      <c r="I9" s="25" t="n">
        <v>10.4</v>
      </c>
      <c r="J9" s="26" t="n">
        <f aca="false">IF(H9=0,0,I9/H9)</f>
        <v>1</v>
      </c>
    </row>
    <row r="10" customFormat="false" ht="15" hidden="false" customHeight="false" outlineLevel="0" collapsed="false">
      <c r="A10" s="5" t="s">
        <v>521</v>
      </c>
      <c r="B10" s="30" t="n">
        <v>387</v>
      </c>
      <c r="C10" s="30" t="n">
        <v>18387</v>
      </c>
      <c r="D10" s="5" t="n">
        <v>27</v>
      </c>
      <c r="E10" s="5" t="n">
        <v>57</v>
      </c>
      <c r="F10" s="25" t="n">
        <v>8.8</v>
      </c>
      <c r="G10" s="25" t="n">
        <v>33.6</v>
      </c>
      <c r="H10" s="25" t="n">
        <v>9.6</v>
      </c>
      <c r="I10" s="25" t="n">
        <v>35.7</v>
      </c>
      <c r="J10" s="26" t="n">
        <f aca="false">IF(H10=0,0,I10/H10)</f>
        <v>3.71875</v>
      </c>
    </row>
    <row r="11" customFormat="false" ht="15" hidden="false" customHeight="false" outlineLevel="0" collapsed="false">
      <c r="A11" s="5" t="s">
        <v>522</v>
      </c>
      <c r="B11" s="30" t="n">
        <v>71</v>
      </c>
      <c r="C11" s="30" t="n">
        <v>2071</v>
      </c>
      <c r="D11" s="5" t="n">
        <v>23</v>
      </c>
      <c r="E11" s="5" t="n">
        <v>23</v>
      </c>
      <c r="F11" s="25" t="n">
        <v>6.1</v>
      </c>
      <c r="G11" s="25" t="n">
        <v>6.8</v>
      </c>
      <c r="H11" s="25" t="n">
        <v>6.7</v>
      </c>
      <c r="I11" s="25" t="n">
        <v>7.4</v>
      </c>
      <c r="J11" s="26" t="n">
        <f aca="false">IF(H11=0,0,I11/H11)</f>
        <v>1.1044776119403</v>
      </c>
    </row>
    <row r="12" customFormat="false" ht="15" hidden="false" customHeight="false" outlineLevel="0" collapsed="false">
      <c r="A12" s="5" t="s">
        <v>523</v>
      </c>
      <c r="B12" s="30" t="n">
        <v>0</v>
      </c>
      <c r="C12" s="30" t="n">
        <v>555</v>
      </c>
      <c r="D12" s="5" t="n">
        <v>8</v>
      </c>
      <c r="E12" s="5" t="n">
        <v>22</v>
      </c>
      <c r="F12" s="25" t="n">
        <v>2.3</v>
      </c>
      <c r="G12" s="25" t="n">
        <v>8</v>
      </c>
      <c r="H12" s="25" t="n">
        <v>2.6</v>
      </c>
      <c r="I12" s="25" t="n">
        <v>10.4</v>
      </c>
      <c r="J12" s="26" t="n">
        <f aca="false">IF(H12=0,0,I12/H12)</f>
        <v>4</v>
      </c>
    </row>
    <row r="13" customFormat="false" ht="15" hidden="false" customHeight="false" outlineLevel="0" collapsed="false">
      <c r="A13" s="5" t="s">
        <v>524</v>
      </c>
      <c r="B13" s="30" t="n">
        <v>0</v>
      </c>
      <c r="C13" s="30" t="n">
        <v>1111</v>
      </c>
      <c r="D13" s="5" t="n">
        <v>10</v>
      </c>
      <c r="E13" s="5" t="n">
        <v>31</v>
      </c>
      <c r="F13" s="25" t="n">
        <v>4.2</v>
      </c>
      <c r="G13" s="25" t="n">
        <v>13</v>
      </c>
      <c r="H13" s="25" t="n">
        <v>5</v>
      </c>
      <c r="I13" s="25" t="n">
        <v>14.8</v>
      </c>
      <c r="J13" s="26" t="n">
        <f aca="false">IF(H13=0,0,I13/H13)</f>
        <v>2.96</v>
      </c>
    </row>
    <row r="16" customFormat="false" ht="15" hidden="false" customHeight="false" outlineLevel="0" collapsed="false">
      <c r="A16" s="3" t="s">
        <v>849</v>
      </c>
    </row>
    <row r="17" customFormat="false" ht="30" hidden="false" customHeight="true" outlineLevel="0" collapsed="false">
      <c r="A17" s="4" t="s">
        <v>527</v>
      </c>
      <c r="B17" s="4" t="s">
        <v>850</v>
      </c>
      <c r="C17" s="4" t="s">
        <v>851</v>
      </c>
      <c r="D17" s="4" t="s">
        <v>488</v>
      </c>
    </row>
    <row r="18" customFormat="false" ht="15" hidden="false" customHeight="false" outlineLevel="0" collapsed="false">
      <c r="A18" s="5" t="s">
        <v>852</v>
      </c>
      <c r="B18" s="5" t="n">
        <v>4.24</v>
      </c>
      <c r="C18" s="5" t="n">
        <v>9.44</v>
      </c>
      <c r="D18" s="26" t="n">
        <f aca="false">IF(OR(B18="",B18=0),"—",C18/B18)</f>
        <v>2.22641509433962</v>
      </c>
    </row>
    <row r="19" customFormat="false" ht="15" hidden="false" customHeight="false" outlineLevel="0" collapsed="false">
      <c r="A19" s="5" t="s">
        <v>853</v>
      </c>
      <c r="B19" s="5" t="n">
        <v>3.23</v>
      </c>
      <c r="C19" s="5" t="n">
        <v>4.9</v>
      </c>
      <c r="D19" s="26" t="n">
        <f aca="false">IF(OR(B19="",B19=0),"—",C19/B19)</f>
        <v>1.51702786377709</v>
      </c>
    </row>
    <row r="20" customFormat="false" ht="15" hidden="false" customHeight="false" outlineLevel="0" collapsed="false">
      <c r="A20" s="5" t="s">
        <v>29</v>
      </c>
      <c r="B20" s="5" t="n">
        <v>9.19</v>
      </c>
      <c r="C20" s="5" t="n">
        <v>27.71</v>
      </c>
      <c r="D20" s="26" t="n">
        <f aca="false">IF(OR(B20="",B20=0),"—",C20/B20)</f>
        <v>3.01523394994559</v>
      </c>
    </row>
    <row r="21" customFormat="false" ht="15" hidden="false" customHeight="false" outlineLevel="0" collapsed="false">
      <c r="A21" s="5" t="s">
        <v>30</v>
      </c>
      <c r="B21" s="5" t="n">
        <v>10.31</v>
      </c>
      <c r="C21" s="5" t="n">
        <v>31.82</v>
      </c>
      <c r="D21" s="26" t="n">
        <f aca="false">IF(OR(B21="",B21=0),"—",C21/B21)</f>
        <v>3.08632395732299</v>
      </c>
    </row>
    <row r="22" customFormat="false" ht="15" hidden="false" customHeight="false" outlineLevel="0" collapsed="false">
      <c r="A22" s="5" t="s">
        <v>534</v>
      </c>
      <c r="B22" s="5" t="n">
        <v>0</v>
      </c>
      <c r="C22" s="5" t="n">
        <v>0</v>
      </c>
      <c r="D22" s="26" t="str">
        <f aca="false">IF(OR(B22="",B22=0),"—",C22/B22)</f>
        <v>—</v>
      </c>
    </row>
    <row r="23" customFormat="false" ht="15" hidden="false" customHeight="false" outlineLevel="0" collapsed="false">
      <c r="A23" s="5" t="s">
        <v>854</v>
      </c>
      <c r="B23" s="5" t="n">
        <v>8.1</v>
      </c>
      <c r="C23" s="5" t="n">
        <v>9.5</v>
      </c>
      <c r="D23" s="26" t="n">
        <f aca="false">IF(OR(B23="",B23=0),"—",C23/B23)</f>
        <v>1.17283950617284</v>
      </c>
    </row>
    <row r="24" customFormat="false" ht="15" hidden="false" customHeight="false" outlineLevel="0" collapsed="false">
      <c r="A24" s="5" t="s">
        <v>855</v>
      </c>
      <c r="B24" s="5" t="n">
        <v>9.6</v>
      </c>
      <c r="C24" s="5" t="n">
        <v>30.9</v>
      </c>
      <c r="D24" s="26" t="n">
        <f aca="false">IF(OR(B24="",B24=0),"—",C24/B24)</f>
        <v>3.21875</v>
      </c>
    </row>
    <row r="25" customFormat="false" ht="15" hidden="false" customHeight="false" outlineLevel="0" collapsed="false">
      <c r="A25" s="5" t="s">
        <v>856</v>
      </c>
      <c r="B25" s="5" t="n">
        <v>649.9</v>
      </c>
      <c r="C25" s="5" t="n">
        <v>868.1</v>
      </c>
      <c r="D25" s="26" t="n">
        <f aca="false">IF(OR(B25="",B25=0),"—",C25/B25)</f>
        <v>1.33574396060932</v>
      </c>
    </row>
    <row r="27" customFormat="false" ht="30" hidden="false" customHeight="true" outlineLevel="0" collapsed="false">
      <c r="A27" s="17" t="s">
        <v>857</v>
      </c>
      <c r="B27" s="17"/>
      <c r="C27" s="17"/>
      <c r="D27" s="17"/>
      <c r="E27" s="17"/>
      <c r="F27" s="17"/>
      <c r="G27" s="17"/>
      <c r="H27" s="17"/>
      <c r="I27" s="17"/>
      <c r="J27" s="17"/>
    </row>
    <row r="28" customFormat="false" ht="30" hidden="false" customHeight="true" outlineLevel="0" collapsed="false">
      <c r="A28" s="17" t="s">
        <v>858</v>
      </c>
      <c r="B28" s="17"/>
      <c r="C28" s="17"/>
      <c r="D28" s="17"/>
      <c r="E28" s="17"/>
      <c r="F28" s="17"/>
      <c r="G28" s="17"/>
      <c r="H28" s="17"/>
      <c r="I28" s="17"/>
      <c r="J28" s="17"/>
    </row>
    <row r="29" customFormat="false" ht="30" hidden="false" customHeight="true" outlineLevel="0" collapsed="false">
      <c r="A29" s="17" t="s">
        <v>859</v>
      </c>
      <c r="B29" s="17"/>
      <c r="C29" s="17"/>
      <c r="D29" s="17"/>
      <c r="E29" s="17"/>
      <c r="F29" s="17"/>
      <c r="G29" s="17"/>
      <c r="H29" s="17"/>
      <c r="I29" s="17"/>
      <c r="J29" s="17"/>
    </row>
    <row r="30" customFormat="false" ht="30" hidden="false" customHeight="true" outlineLevel="0" collapsed="false">
      <c r="A30" s="17" t="s">
        <v>860</v>
      </c>
      <c r="B30" s="17"/>
      <c r="C30" s="17"/>
      <c r="D30" s="17"/>
      <c r="E30" s="17"/>
      <c r="F30" s="17"/>
      <c r="G30" s="17"/>
      <c r="H30" s="17"/>
      <c r="I30" s="17"/>
      <c r="J30" s="17"/>
    </row>
  </sheetData>
  <mergeCells count="4">
    <mergeCell ref="A27:J27"/>
    <mergeCell ref="A28:J28"/>
    <mergeCell ref="A29:J29"/>
    <mergeCell ref="A30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1" t="s">
        <v>861</v>
      </c>
    </row>
    <row r="2" customFormat="false" ht="15" hidden="false" customHeight="false" outlineLevel="0" collapsed="false">
      <c r="A2" s="2" t="s">
        <v>862</v>
      </c>
    </row>
    <row r="4" customFormat="false" ht="30" hidden="false" customHeight="true" outlineLevel="0" collapsed="false">
      <c r="A4" s="4" t="s">
        <v>25</v>
      </c>
      <c r="B4" s="4" t="s">
        <v>863</v>
      </c>
      <c r="C4" s="4" t="s">
        <v>864</v>
      </c>
      <c r="D4" s="4" t="s">
        <v>865</v>
      </c>
      <c r="E4" s="4" t="s">
        <v>866</v>
      </c>
      <c r="F4" s="4" t="s">
        <v>867</v>
      </c>
      <c r="G4" s="4" t="s">
        <v>868</v>
      </c>
      <c r="H4" s="4" t="s">
        <v>869</v>
      </c>
      <c r="I4" s="4" t="s">
        <v>870</v>
      </c>
      <c r="J4" s="4" t="s">
        <v>871</v>
      </c>
    </row>
    <row r="5" customFormat="false" ht="15" hidden="false" customHeight="false" outlineLevel="0" collapsed="false">
      <c r="A5" s="5" t="s">
        <v>32</v>
      </c>
      <c r="B5" s="5" t="n">
        <v>6</v>
      </c>
      <c r="C5" s="5" t="n">
        <v>0</v>
      </c>
      <c r="D5" s="25" t="n">
        <v>4.06</v>
      </c>
      <c r="E5" s="25" t="n">
        <v>4.05</v>
      </c>
      <c r="F5" s="25" t="n">
        <v>4.06</v>
      </c>
      <c r="G5" s="25" t="n">
        <v>4.07</v>
      </c>
      <c r="H5" s="25" t="n">
        <v>4.07</v>
      </c>
      <c r="I5" s="25" t="n">
        <v>4.07</v>
      </c>
      <c r="J5" s="5" t="n">
        <v>6.4</v>
      </c>
    </row>
    <row r="6" customFormat="false" ht="23.85" hidden="false" customHeight="false" outlineLevel="0" collapsed="false">
      <c r="A6" s="5" t="s">
        <v>34</v>
      </c>
      <c r="B6" s="5" t="n">
        <v>116</v>
      </c>
      <c r="C6" s="5" t="n">
        <v>0</v>
      </c>
      <c r="D6" s="25" t="n">
        <v>12.54</v>
      </c>
      <c r="E6" s="25" t="n">
        <v>4.03</v>
      </c>
      <c r="F6" s="25" t="n">
        <v>14.08</v>
      </c>
      <c r="G6" s="25" t="n">
        <v>16.08</v>
      </c>
      <c r="H6" s="25" t="n">
        <v>16.1</v>
      </c>
      <c r="I6" s="25" t="n">
        <v>18.11</v>
      </c>
      <c r="J6" s="5" t="n">
        <v>18.6</v>
      </c>
    </row>
    <row r="7" customFormat="false" ht="23.85" hidden="false" customHeight="false" outlineLevel="0" collapsed="false">
      <c r="A7" s="5" t="s">
        <v>39</v>
      </c>
      <c r="B7" s="5" t="n">
        <v>60</v>
      </c>
      <c r="C7" s="5" t="n">
        <v>0</v>
      </c>
      <c r="D7" s="25" t="n">
        <v>98.09</v>
      </c>
      <c r="E7" s="25" t="n">
        <v>4.16</v>
      </c>
      <c r="F7" s="25" t="n">
        <v>98.76</v>
      </c>
      <c r="G7" s="25" t="n">
        <v>171.19</v>
      </c>
      <c r="H7" s="25" t="n">
        <v>181.11</v>
      </c>
      <c r="I7" s="25" t="n">
        <v>189.47</v>
      </c>
      <c r="J7" s="5" t="n">
        <v>19</v>
      </c>
    </row>
    <row r="8" customFormat="false" ht="15" hidden="false" customHeight="false" outlineLevel="0" collapsed="false">
      <c r="A8" s="5" t="s">
        <v>41</v>
      </c>
      <c r="B8" s="5" t="n">
        <v>173</v>
      </c>
      <c r="C8" s="5" t="n">
        <v>0</v>
      </c>
      <c r="D8" s="25" t="n">
        <v>4.41</v>
      </c>
      <c r="E8" s="25" t="n">
        <v>2.31</v>
      </c>
      <c r="F8" s="25" t="n">
        <v>4.03</v>
      </c>
      <c r="G8" s="25" t="n">
        <v>6.04</v>
      </c>
      <c r="H8" s="25" t="n">
        <v>6.32</v>
      </c>
      <c r="I8" s="25" t="n">
        <v>10.06</v>
      </c>
      <c r="J8" s="5" t="n">
        <v>11.8</v>
      </c>
    </row>
    <row r="10" customFormat="false" ht="30" hidden="false" customHeight="true" outlineLevel="0" collapsed="false">
      <c r="A10" s="17" t="s">
        <v>872</v>
      </c>
      <c r="B10" s="17"/>
      <c r="C10" s="17"/>
      <c r="D10" s="17"/>
      <c r="E10" s="17"/>
      <c r="F10" s="17"/>
      <c r="G10" s="17"/>
      <c r="H10" s="17"/>
      <c r="I10" s="17"/>
      <c r="J10" s="17"/>
    </row>
    <row r="11" customFormat="false" ht="30" hidden="false" customHeight="true" outlineLevel="0" collapsed="false">
      <c r="A11" s="17" t="s">
        <v>873</v>
      </c>
      <c r="B11" s="17"/>
      <c r="C11" s="17"/>
      <c r="D11" s="17"/>
      <c r="E11" s="17"/>
      <c r="F11" s="17"/>
      <c r="G11" s="17"/>
      <c r="H11" s="17"/>
      <c r="I11" s="17"/>
      <c r="J11" s="17"/>
    </row>
    <row r="12" customFormat="false" ht="30" hidden="false" customHeight="true" outlineLevel="0" collapsed="false">
      <c r="A12" s="17" t="s">
        <v>874</v>
      </c>
      <c r="B12" s="17"/>
      <c r="C12" s="17"/>
      <c r="D12" s="17"/>
      <c r="E12" s="17"/>
      <c r="F12" s="17"/>
      <c r="G12" s="17"/>
      <c r="H12" s="17"/>
      <c r="I12" s="17"/>
      <c r="J12" s="17"/>
    </row>
    <row r="13" customFormat="false" ht="30" hidden="false" customHeight="true" outlineLevel="0" collapsed="false">
      <c r="A13" s="17" t="s">
        <v>875</v>
      </c>
      <c r="B13" s="17"/>
      <c r="C13" s="17"/>
      <c r="D13" s="17"/>
      <c r="E13" s="17"/>
      <c r="F13" s="17"/>
      <c r="G13" s="17"/>
      <c r="H13" s="17"/>
      <c r="I13" s="17"/>
      <c r="J13" s="17"/>
    </row>
  </sheetData>
  <mergeCells count="4">
    <mergeCell ref="A10:J10"/>
    <mergeCell ref="A11:J11"/>
    <mergeCell ref="A12:J12"/>
    <mergeCell ref="A13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2026-09-30T01:03:26Z</dcterms:created>
  <dc:creator>openpyxl</dc:creator>
  <dc:description/>
  <dc:language>en-US</dc:language>
  <cp:lastModifiedBy/>
  <dcterms:modified xsi:type="dcterms:W3CDTF">2026-09-30T04:03:31Z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